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62bfc9b8916fab/PILLOW/PROYECTOS_CLIENTES/PILLOW/PSAG/TEAMWORK/45064123-Control_Converting_1/00.Diseño Fase Inicial/Ajustes_test_25082026/EVentosHistoricosTango2/"/>
    </mc:Choice>
  </mc:AlternateContent>
  <xr:revisionPtr revIDLastSave="1" documentId="13_ncr:1_{105D2244-7A3E-41FE-8551-56B388D177FD}" xr6:coauthVersionLast="47" xr6:coauthVersionMax="47" xr10:uidLastSave="{C824A80A-B614-4711-AE96-D6E4067C650E}"/>
  <bookViews>
    <workbookView xWindow="-120" yWindow="-120" windowWidth="29040" windowHeight="15840" xr2:uid="{BC1AED2A-4117-4439-8515-354D90465F1B}"/>
  </bookViews>
  <sheets>
    <sheet name="TGO2-DET(marzo)" sheetId="6" r:id="rId1"/>
    <sheet name="TGO2-DET(abril)" sheetId="5" r:id="rId2"/>
    <sheet name="TGO2-DET(mayo)" sheetId="4" r:id="rId3"/>
    <sheet name="TGO2-DET(junio)" sheetId="3" r:id="rId4"/>
    <sheet name="TGO2-DET(Julio)" sheetId="2" r:id="rId5"/>
    <sheet name="TGO2-DET(agosto)" sheetId="1" r:id="rId6"/>
  </sheets>
  <definedNames>
    <definedName name="_xlnm._FilterDatabase" localSheetId="1" hidden="1">'TGO2-DET(abril)'!$A$1:$H$379</definedName>
    <definedName name="_xlnm._FilterDatabase" localSheetId="5" hidden="1">'TGO2-DET(agosto)'!$A$1:$H$241</definedName>
    <definedName name="_xlnm._FilterDatabase" localSheetId="4" hidden="1">'TGO2-DET(Julio)'!$A$1:$H$240</definedName>
    <definedName name="_xlnm._FilterDatabase" localSheetId="3" hidden="1">'TGO2-DET(junio)'!$A$1:$H$232</definedName>
    <definedName name="_xlnm._FilterDatabase" localSheetId="0" hidden="1">'TGO2-DET(marzo)'!$A$1:$H$525</definedName>
    <definedName name="_xlnm._FilterDatabase" localSheetId="2" hidden="1">'TGO2-DET(mayo)'!$A$1:$H$224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1" i="6" l="1"/>
  <c r="C106" i="6"/>
  <c r="C52" i="6"/>
  <c r="C131" i="5" l="1"/>
  <c r="C130" i="5"/>
  <c r="C117" i="5"/>
  <c r="C47" i="5"/>
  <c r="C15" i="5"/>
  <c r="C7" i="5"/>
  <c r="C93" i="2" l="1"/>
</calcChain>
</file>

<file path=xl/sharedStrings.xml><?xml version="1.0" encoding="utf-8"?>
<sst xmlns="http://schemas.openxmlformats.org/spreadsheetml/2006/main" count="3743" uniqueCount="541">
  <si>
    <t>TURNO</t>
  </si>
  <si>
    <t>TIPO FALLA</t>
  </si>
  <si>
    <t>DETALLE</t>
  </si>
  <si>
    <t>ARRASTOA F.</t>
  </si>
  <si>
    <t>FALLO EQUIPO</t>
  </si>
  <si>
    <t>FALLA MEC.</t>
  </si>
  <si>
    <t>ACEVEDO I.</t>
  </si>
  <si>
    <t>FALLA ELEC.</t>
  </si>
  <si>
    <t>GHIBAUDI C.</t>
  </si>
  <si>
    <t>PREVENTIVO</t>
  </si>
  <si>
    <t>FALLA PROCESO</t>
  </si>
  <si>
    <t>MAQUINA</t>
  </si>
  <si>
    <t>ARRANQUE DE TURNO</t>
  </si>
  <si>
    <t>CORTE PAPEL</t>
  </si>
  <si>
    <t>PERSONAL</t>
  </si>
  <si>
    <t>VACIAR ACUMULADOR/FIN DE SEMANA</t>
  </si>
  <si>
    <t>VALMET</t>
  </si>
  <si>
    <t>DEBOBINADOR</t>
  </si>
  <si>
    <t>AJUSTE ANORMALIDAD</t>
  </si>
  <si>
    <t>GOFRADOR</t>
  </si>
  <si>
    <t>SE PEGA EMPALME</t>
  </si>
  <si>
    <t>REBOBINADORA</t>
  </si>
  <si>
    <t>CAMBIO CUCHILLA FIJA</t>
  </si>
  <si>
    <t>ACUMULADOR</t>
  </si>
  <si>
    <t>CORTADORA</t>
  </si>
  <si>
    <t>CAMBIO CUCHILLA</t>
  </si>
  <si>
    <t>REFILE</t>
  </si>
  <si>
    <t>CORTE DEFECTUOSO</t>
  </si>
  <si>
    <t>CONERA</t>
  </si>
  <si>
    <t>EMPAQUETADORA</t>
  </si>
  <si>
    <t>FILM DEFECTUOSO</t>
  </si>
  <si>
    <t>EMBOLSADORA</t>
  </si>
  <si>
    <t>ROBOT KUKA</t>
  </si>
  <si>
    <t>SUMINISTROS</t>
  </si>
  <si>
    <t>FALTA ENERGIA</t>
  </si>
  <si>
    <t>CAMBIO DE FTO.</t>
  </si>
  <si>
    <t>SETUP</t>
  </si>
  <si>
    <t>OTROS</t>
  </si>
  <si>
    <t>REUNIÓN</t>
  </si>
  <si>
    <t>LIMPIEZA CABREADAS</t>
  </si>
  <si>
    <t>FECHA</t>
  </si>
  <si>
    <t>TIEMPO (min)</t>
  </si>
  <si>
    <t>HS PROG</t>
  </si>
  <si>
    <t>CUERPO / EQUIPO</t>
  </si>
  <si>
    <t>0842C04. enganche a 20 de girar</t>
  </si>
  <si>
    <t xml:space="preserve">1 corte </t>
  </si>
  <si>
    <t>0733B16. 2 cortes marcados. Se corta antes de la marca</t>
  </si>
  <si>
    <t>Se cambia motor de elevador por electrico de guardia. Falla elevador 1105</t>
  </si>
  <si>
    <t>fallo drive formadora fouir drive gtub-tubga2. se llama aguardia electrica. Se resetea equipo y se borra alarma.</t>
  </si>
  <si>
    <t>corte en gofrador y precorte.</t>
  </si>
  <si>
    <t>correas rápidas lado pantalla se salen de poleas</t>
  </si>
  <si>
    <t>no realiza precorte adecuado.</t>
  </si>
  <si>
    <t>fallo drive formadora fouir drive gtub-tubga2. Se resetea control de temperatura de motor. Trabaja electrónico.</t>
  </si>
  <si>
    <t>0932A16. corte total x enganche sin marcar</t>
  </si>
  <si>
    <t>0932A16 un enganche 10 cm antes de cono pasta pegada</t>
  </si>
  <si>
    <t>0921C10. 1 corte marcado + corte total</t>
  </si>
  <si>
    <t>se para a limpiar rodillo perforado</t>
  </si>
  <si>
    <t>se sale correa rapida.</t>
  </si>
  <si>
    <t>0861B11. volado al final. LT enganche y corte</t>
  </si>
  <si>
    <t>0922A13. corte total a 10 cm de girar</t>
  </si>
  <si>
    <t>CORTE EN PRECORTE. LIMPIEZA DE RODILLOS</t>
  </si>
  <si>
    <t>problemas con formación. Papel entre rios se cambia de proveedor a fibre</t>
  </si>
  <si>
    <t>P. PROGRAMADA</t>
  </si>
  <si>
    <t>Mcánico estira cadena de pentes.</t>
  </si>
  <si>
    <t>2 cortes en precorte. Limpieza de diatrol y rod inferior</t>
  </si>
  <si>
    <t>falta de conos. Regulaciones varias de conera. Se cambia pico de adhesivo caliente</t>
  </si>
  <si>
    <t>Conos salen desarmados. Se regula entrada de papel a la barra formadora (posición de guías 85 y 90)</t>
  </si>
  <si>
    <t>0693D02. corte total. Enganche sobre el final a 5 cm del cono.</t>
  </si>
  <si>
    <t>limpieza de cunas y rodillo inferior</t>
  </si>
  <si>
    <t>empalme no lo hace bien</t>
  </si>
  <si>
    <t>se tiene problemas con el corte de tubete al darle velocidad</t>
  </si>
  <si>
    <t>0783C11. corte total amitad de bobina.</t>
  </si>
  <si>
    <t>se rompe cono en transferencia</t>
  </si>
  <si>
    <t>0933D01. corte total a pocos cm del cono</t>
  </si>
  <si>
    <t>0782B11. corte total a pocos cm del cono</t>
  </si>
  <si>
    <t>precorte</t>
  </si>
  <si>
    <t>49 cm. Se tarda x acceso a pañol.</t>
  </si>
  <si>
    <t>0792B12. corte total. Limpieza de plano, prensa y rod inferior de rebo.</t>
  </si>
  <si>
    <t>electrico trabaja en micro de puerta de tmc. Falla.</t>
  </si>
  <si>
    <t>Cinta negra de alimentación de rollos se desplaza. Viene mec. De guardia. Fallo módulo defectuoaso 3211.</t>
  </si>
  <si>
    <t>se pega emalme</t>
  </si>
  <si>
    <t>Se cortan tornillos que sujetan las pinzas de paquetes con el brazo del robot. Al cortarse la pinza se baja tocando la mesa de rodillos y marcando fallas en sensores de atascamiento.</t>
  </si>
  <si>
    <t>Se salió correa superor rapila lado pantalla. Acum. Lleno.</t>
  </si>
  <si>
    <t>pico de tensión. Corte total del papel.</t>
  </si>
  <si>
    <t>se pega empalme</t>
  </si>
  <si>
    <t>gofrador</t>
  </si>
  <si>
    <t>recperación tubos</t>
  </si>
  <si>
    <t>final bobina. Se pasa.</t>
  </si>
  <si>
    <t>no ajusta brazo nro10. acumulador lleno.</t>
  </si>
  <si>
    <t>Se desajusta medialuna LT y se debe cambiar cuchilla fija.</t>
  </si>
  <si>
    <t>corte total</t>
  </si>
  <si>
    <t>0942A16. corte a pocos cm de terminarse la bobina</t>
  </si>
  <si>
    <t>precorte x tubetes despegados.</t>
  </si>
  <si>
    <t>0942A14. corte total papel</t>
  </si>
  <si>
    <t>se deapega empalme</t>
  </si>
  <si>
    <t>corte en gofrador por enganche a pocos cm de fin de bobina.</t>
  </si>
  <si>
    <t>0723B01.corte total</t>
  </si>
  <si>
    <t>0393A04. CORTE TOTAL</t>
  </si>
  <si>
    <t>Se salió rueda de sab. Se coloca nuevamente</t>
  </si>
  <si>
    <t>0941C04.corte total con 2 cortes marcados. Luego se sacar los cortes enganche a 20 cm del cono.</t>
  </si>
  <si>
    <t>falla de emergencia. Se anhebra todo el papel.</t>
  </si>
  <si>
    <t>0751A06. corte total</t>
  </si>
  <si>
    <t>nuevamente falla de emergencia. Se anhebra todo el papel.</t>
  </si>
  <si>
    <t>se despega empalme</t>
  </si>
  <si>
    <t>precorte por tubetes despegados.</t>
  </si>
  <si>
    <t>0932A13. corte total</t>
  </si>
  <si>
    <t>0751A02. corte total a 10 cm de girar</t>
  </si>
  <si>
    <t>recperación tubos. Eléctrico acomodó ficha floja de tablero.</t>
  </si>
  <si>
    <t>0262D01. corte total x enganche</t>
  </si>
  <si>
    <t>0753b07. corte por estar deformada</t>
  </si>
  <si>
    <t>0262D01. corte total.</t>
  </si>
  <si>
    <t>0261D14. precorte</t>
  </si>
  <si>
    <t>CORTE MARCADO BOBINA</t>
  </si>
  <si>
    <t>0261D14.2 cortes marcados</t>
  </si>
  <si>
    <t>0403B02. corte a 20 cm del corte marcado</t>
  </si>
  <si>
    <t>falla de emergencia nuvamente. Se anhebra todo el papel.</t>
  </si>
  <si>
    <t>"fallo dina" en módulo rebobinadora al intentar pulsar jog. Se llama eléctrico y se reseteo de tablero.</t>
  </si>
  <si>
    <t>3453C01. corte total</t>
  </si>
  <si>
    <t>3353D05. corte total</t>
  </si>
  <si>
    <t>Arranque de lunes. Post revisiones preventivas del domingo. Problemas en embolsadora salen bolsones abiertos. Se acomodan chapones superiores y regulación de altura del soldador. E revisa el sensor de home y cambian cable del mismo.</t>
  </si>
  <si>
    <t>salta falla de emergencia. Se diagnostica el problema en el termistor del motor del debobinador. Se puentea la medición de temperatura de motor para evitar falla.</t>
  </si>
  <si>
    <t>0713B02. corte total a pocos cm de cono</t>
  </si>
  <si>
    <t>emergencia de máquina. Fallo en celular.</t>
  </si>
  <si>
    <t>en cambio de contenedor, la bomba absorve papel y obstruye paso de ashesivo.</t>
  </si>
  <si>
    <t>pico de tensión en sector packaging incluyendo cortadora</t>
  </si>
  <si>
    <t>alarma en embolsadora "enderesador 1105"</t>
  </si>
  <si>
    <t>3253C08. corte total</t>
  </si>
  <si>
    <t>3243C04. corte total</t>
  </si>
  <si>
    <t>recuperación de conos</t>
  </si>
  <si>
    <t>Eléctrico cambia cerradura de puerta de cortadora. Tema de seguridad. Se aprovecha a cambiar cuchilla de precorte rota LS y se limpió sector de ingreso al aspirador de esmeril.</t>
  </si>
  <si>
    <t>Muchos problemas con continuidad de conera. Cortes de papel. TN. Dos santos de conero.</t>
  </si>
  <si>
    <t>Empalmes no pasan. Mecánico cambi pastillas d freno en ambos debobinadores</t>
  </si>
  <si>
    <t>Falla en módulo distribuidor. "sensor de fase no funciona". Despues de varias pruebas se deduce que las horas del ventilador del driver estaban vencidas y ponía en falla el mismo.</t>
  </si>
  <si>
    <t>0743B13. corte total</t>
  </si>
  <si>
    <t>0713B04. corte total sobre final de bobina</t>
  </si>
  <si>
    <t>se pasa de largo corte marcado</t>
  </si>
  <si>
    <t>corte defectuoso de 1er rollo se llama a electrónico para diagnóstico.</t>
  </si>
  <si>
    <t>1172C05. marca roja mal marcada. Corte total</t>
  </si>
  <si>
    <t>BEMA</t>
  </si>
  <si>
    <t>Fallo en placas de comunicación. Se cambia fuente. Se bajan bolsones para reducir parada.</t>
  </si>
  <si>
    <t>0722D12. corte total. Papel desplazado sobre el final.</t>
  </si>
  <si>
    <t>Se cambia carrito de elevador de forma preventiva por ruido y faltante de bolillas.</t>
  </si>
  <si>
    <t>TN. Marca falla en embolsadora de "presostato línea general SP2994". Trabaja eléctrico de turno</t>
  </si>
  <si>
    <t>TM. Marca falla en embolsadora de "presostato línea general SP2994". Se conecta aire directo</t>
  </si>
  <si>
    <t>problemas en formación de cono.</t>
  </si>
  <si>
    <t>se cambia a energía de generador x baja tensión</t>
  </si>
  <si>
    <t>problemas en formación. Se limpieza de polea de mando + cambio de barra formador.</t>
  </si>
  <si>
    <t>Se limpia circuito de adhesivo. Se saca bocha.</t>
  </si>
  <si>
    <t>0751A04. corte total. Eganche antes de llegar a marca</t>
  </si>
  <si>
    <t>0732D16</t>
  </si>
  <si>
    <t>0741A03</t>
  </si>
  <si>
    <t>se sale correa rapida superior</t>
  </si>
  <si>
    <t>corte programado se pasa de generador a eden.</t>
  </si>
  <si>
    <t>0731C03. corte total x enganche al final</t>
  </si>
  <si>
    <t>3451A16.corte total. Engance a pocos cm de terminarse</t>
  </si>
  <si>
    <t xml:space="preserve"> se sale 3 veces correas lentas. Mecánico estira.</t>
  </si>
  <si>
    <t>3443B16. corte total</t>
  </si>
  <si>
    <t>Mecanico trabaja cambiando "acople estrella" dentro de manchón. Problema de mal corte 1er rollo. Al rrancar se afloja y se corrige.</t>
  </si>
  <si>
    <t>Baja velocidad para que la maqina no falle.</t>
  </si>
  <si>
    <t>se salen 2 veces correas lentas</t>
  </si>
  <si>
    <t>empalme  se despega en grupo adhesivo</t>
  </si>
  <si>
    <t>1223b04- corte total sobre el cono</t>
  </si>
  <si>
    <t>se recupera por cambio de papel</t>
  </si>
  <si>
    <t>1943b09. ct a 3 cm del final</t>
  </si>
  <si>
    <t>1923b17. ct a 5 cm del tubo</t>
  </si>
  <si>
    <t>1941a06. ct a 60 cm del cono</t>
  </si>
  <si>
    <t>alarma pilz 433.</t>
  </si>
  <si>
    <t>ARRANQUE TURNO</t>
  </si>
  <si>
    <t>1851B06. ct a 60 cm del cono</t>
  </si>
  <si>
    <t>1672A16. 2 CORTE PAPEL TOTAL</t>
  </si>
  <si>
    <t>1682D15. CORTES PAPEL TOTAL</t>
  </si>
  <si>
    <t>se corta correa rapida inferios. Se cambian las 4</t>
  </si>
  <si>
    <t>se cambia reductor del motor de mando de correas de introducción de conos.</t>
  </si>
  <si>
    <t>PLANO DE ACUMULADOR CON PROBLEMAS.</t>
  </si>
  <si>
    <t>LIMPIEZA</t>
  </si>
  <si>
    <t>se cambia cuchilla por estar partida</t>
  </si>
  <si>
    <t>se limpia caja adhesivo</t>
  </si>
  <si>
    <t>1673B01. corte totañ a pocos cm de terminarse</t>
  </si>
  <si>
    <t>caMBIO CUCHILLA FIJA</t>
  </si>
  <si>
    <t>Falla profibus. Tablero gofrador con placa floja</t>
  </si>
  <si>
    <t>carro limpieza rodillo inferior se rompe. Trabaja mecanico</t>
  </si>
  <si>
    <t>carro limpieza rodillo inferior se rompe</t>
  </si>
  <si>
    <t>rollos despegados</t>
  </si>
  <si>
    <t>Problemas de rollos despegados. Se agrega 60 l de adhesivo puro</t>
  </si>
  <si>
    <t>carro limpieza rodillo inferior se rompe. Se cambia cadena y regule sensor LS.</t>
  </si>
  <si>
    <t>2223C06. enganche sin marcar a 7 cm del cono</t>
  </si>
  <si>
    <t>SE CORTO TORNILLO DE POLEA DE D1</t>
  </si>
  <si>
    <t>1872A06. corte total antes y despues de marca roja</t>
  </si>
  <si>
    <t>DESVÍO EN FALLO DE INFEED DE 11 A 13 HS. Se regulan levas de entrada de tubetes</t>
  </si>
  <si>
    <t>REGULE</t>
  </si>
  <si>
    <t>al abri puerta de debo2 salta falla señal de seguridad. Electrico limpia contactores</t>
  </si>
  <si>
    <t>2 cortes</t>
  </si>
  <si>
    <t>se corta tanza de boquilla</t>
  </si>
  <si>
    <t>cortadora queda en stand by. Se anulan sensores de salida</t>
  </si>
  <si>
    <t>de x 6 a x4</t>
  </si>
  <si>
    <t>se cambia soldador inferir por estar caído y no sella bien</t>
  </si>
  <si>
    <t>se corta tanza de boquilla. Se suplementa chapa para que no roce</t>
  </si>
  <si>
    <t>eje frenado mando de correas de tubos. Se trabajó el domingo en reparar.</t>
  </si>
  <si>
    <t>Alarma en cortado no borraba. Trabaja electrico. Sale cuando se aprieta parada de emergencia.</t>
  </si>
  <si>
    <t>cambio rodillo gofrador. Se saca el n6 y entra el 7</t>
  </si>
  <si>
    <t>CAMBIO DE CCUCHILLA</t>
  </si>
  <si>
    <t>DE SH x 30 mts a 50 mtrs</t>
  </si>
  <si>
    <t>alarma dosificador 2 "6132". motor sobrecargado. Se mueven engranajes y destraba</t>
  </si>
  <si>
    <t>carro limpieza rodillo inferior se rompe. Carro choca prensa</t>
  </si>
  <si>
    <t>1022D04. corte total a 20 min de comienzo.</t>
  </si>
  <si>
    <t>se para a limpiar</t>
  </si>
  <si>
    <t>0712a08. corte total a mitad de bobina</t>
  </si>
  <si>
    <t>0693D14. corte total a cm de terminarse. Con enganche marcado</t>
  </si>
  <si>
    <t>1243c09 y 1693c08 corte total antes de cono</t>
  </si>
  <si>
    <t>combio de motor de cinta de alimentación elevador.</t>
  </si>
  <si>
    <t>KUKA</t>
  </si>
  <si>
    <t>No abre y cierra correctamente pinza toma producto. Se cambiaron 2 istones y regulación de micros</t>
  </si>
  <si>
    <t>Partido de argentina mundial</t>
  </si>
  <si>
    <t>regulación de aire de pistones. Problema en pinza toma producto</t>
  </si>
  <si>
    <t>1683b12. corte total</t>
  </si>
  <si>
    <t>pico de tensión. Se corta energía de máquina</t>
  </si>
  <si>
    <t>0712a16. corte total a 15 cm del cono. Se sacan también 2 cortes marcados</t>
  </si>
  <si>
    <t>se pasa de largo.</t>
  </si>
  <si>
    <t>1871B17. enganche sin marcar a 54 cm del cono</t>
  </si>
  <si>
    <t>electronico realiza prueba en embolsadora.</t>
  </si>
  <si>
    <t>cinta ancha previa a elevador deja de funcionar.</t>
  </si>
  <si>
    <t>tubete largo</t>
  </si>
  <si>
    <t>trabada en cadenas de acum.</t>
  </si>
  <si>
    <t>recuperación de conos. Problema con toratas marcadas que s cortan</t>
  </si>
  <si>
    <t>al over manual salta emergencia en 2 oportunidades.</t>
  </si>
  <si>
    <t>se pasa de largo papel de debo.</t>
  </si>
  <si>
    <t>varias trabadas de cono en cinta.</t>
  </si>
  <si>
    <t>problemas con corte de cono. Se cambia correa formadora.</t>
  </si>
  <si>
    <t>trabadas x mal funcionamiento de cinta</t>
  </si>
  <si>
    <t>se para a revisar botonera de debo1 por tema alarma de emergencia</t>
  </si>
  <si>
    <t>se corta cadena barra doble (lado sincro). Se colocan ambas cadenas</t>
  </si>
  <si>
    <t>Se para cambia rodillo de goma para enviar a reengomar. Mantenimiento trabajo programado en embolsadora para resolver tema cinta de transporte. Cambio de eje banda y cadena de estratificador.</t>
  </si>
  <si>
    <t>demora en arranque. Mecanico cambiando cadena de estratificador. Rodillo de goma que se puso vibra (sin rectificar). Se cambia rodillo de goma nuevamente.</t>
  </si>
  <si>
    <t>se despega empalme.</t>
  </si>
  <si>
    <t>1941a05. corte total a 50 cm de cono</t>
  </si>
  <si>
    <t>rotura correa lenta inferior</t>
  </si>
  <si>
    <t>recuperacion de conos</t>
  </si>
  <si>
    <t>problemas en formación</t>
  </si>
  <si>
    <t>1941a14. corte total a 40 cm de cono</t>
  </si>
  <si>
    <t>1952d07. ct enganche sin marcar a 3 cm de cono</t>
  </si>
  <si>
    <t>de 30 a 80 mtrs SH</t>
  </si>
  <si>
    <t>se vacía acumulador</t>
  </si>
  <si>
    <t>demora en arranque cmbio de rodillo verde de rebobinadora</t>
  </si>
  <si>
    <t>regule final</t>
  </si>
  <si>
    <t>REFILADOR</t>
  </si>
  <si>
    <t>caneletas de acumulador de descarga al refilador estaban cruzadas. Se alinea y acomoda el paso</t>
  </si>
  <si>
    <t>LIMPIEZA DE ENTORNO</t>
  </si>
  <si>
    <t>Se para a limpiar pisos mojados x lluvia. auditoróa</t>
  </si>
  <si>
    <t>1721a06. 3 cortes antes de mitad de bobina. Mitad y despues</t>
  </si>
  <si>
    <t>manga trabada en plano de ingreso y salida</t>
  </si>
  <si>
    <t>1773c08. corte total a 20 cm del cono</t>
  </si>
  <si>
    <t>de SH 80 mts a 30 mtr</t>
  </si>
  <si>
    <t>3 cortes  en dif bobinas</t>
  </si>
  <si>
    <t>marca seguridad en puertas. Se llama electrico</t>
  </si>
  <si>
    <t>VACIAR ACUMULADOR</t>
  </si>
  <si>
    <t>de 5 a 12:20. tareas programadas de mantenimiento</t>
  </si>
  <si>
    <t>se cambia de color de conos</t>
  </si>
  <si>
    <t>Reunión en tango 4</t>
  </si>
  <si>
    <t>1942D08. ENGANCHE a 3 CM DE CONO</t>
  </si>
  <si>
    <t>1942D16. CORTE TOTAL X ENGANCHE A 3 CM DE CONO</t>
  </si>
  <si>
    <t>se cambia tanza de boquilla</t>
  </si>
  <si>
    <t>cono mas largo</t>
  </si>
  <si>
    <t>se cambia chapa superior izquierda del tuner. Se parte luego de una trabada</t>
  </si>
  <si>
    <t>falla en dosificador 2. mecánico cambia correas dentadas inferiores y se invirtió pistones de apertura.</t>
  </si>
  <si>
    <t>rotura de correa inferior lente. Lado omet</t>
  </si>
  <si>
    <t>1681C07. corte total a 20 min de haber comenzado</t>
  </si>
  <si>
    <t>se rompe carro de limpieza de rodillo inferior. Se cambia cadena y regula sensor.</t>
  </si>
  <si>
    <t>1882a08. enganche sin marcar y papel con agujeros a 2 cm de girar</t>
  </si>
  <si>
    <t>se rompe correa formadora</t>
  </si>
  <si>
    <t>fallao salida soldadora qr3532. se cambia rodamiento en rodillo de mando salida soldadora (lado kuka)</t>
  </si>
  <si>
    <t>1902a01. corte antes de manrca roja</t>
  </si>
  <si>
    <t>se recuperan conos. Cambio cuchilla</t>
  </si>
  <si>
    <t>se regulan piedras</t>
  </si>
  <si>
    <t>DESCRIPCIÓN</t>
  </si>
  <si>
    <t>1251A10. corte total a 68,5 cm del cono</t>
  </si>
  <si>
    <t>1221A05. a 8 cm del cono</t>
  </si>
  <si>
    <t>1242D02. a 30 cm del cono</t>
  </si>
  <si>
    <t>Falla en pilz de puerta.</t>
  </si>
  <si>
    <t>1453B03. corte total sobre final de bobina</t>
  </si>
  <si>
    <t>1251A01- corte total a 20 min de debobinado</t>
  </si>
  <si>
    <t>falla enderesador 1105. se corta energía</t>
  </si>
  <si>
    <t>problema de rollos de distinta medida. Trabaja electrónico</t>
  </si>
  <si>
    <t>acumulador de mangas cruzado</t>
  </si>
  <si>
    <t>3251D04. corte toal a mitad de bobina</t>
  </si>
  <si>
    <t>alarma velocidad excesiva disco de corte. Se corta energía</t>
  </si>
  <si>
    <t>manguera tapada de adhesivo vinilico</t>
  </si>
  <si>
    <t>de SH 30 m a 80 mtrs</t>
  </si>
  <si>
    <t>cambio + tareas programadas de mantenimiento</t>
  </si>
  <si>
    <t>Ajustes packagin+regule refilador y cortadora</t>
  </si>
  <si>
    <t>falla "simotion: alarma rodillo introductor". Se cambia módulo que comanda servomotor.</t>
  </si>
  <si>
    <t>se corta energía</t>
  </si>
  <si>
    <t>Se corta correa de mando de cuchilla.</t>
  </si>
  <si>
    <t>de SH 80 a 90 mts</t>
  </si>
  <si>
    <t>sector packaging.</t>
  </si>
  <si>
    <t>precorte. Cortes al dar velocidad. Sh 80 mtrs</t>
  </si>
  <si>
    <t>falla enderezador 1105. trabaja guanzini y electricista</t>
  </si>
  <si>
    <t>paradas en horario de mate</t>
  </si>
  <si>
    <t>de SH de 90 a 80 mtrs</t>
  </si>
  <si>
    <t>REGULE DE PISTÓN CENTRADOR</t>
  </si>
  <si>
    <t>PRECORTE 3 CORTES CONSECUTIVOS</t>
  </si>
  <si>
    <t>se ajuntan sensores de fase de acumulador de tubetes.</t>
  </si>
  <si>
    <t>1362c10. 1 corte marcado y 1 corte total a 5 cm del cono</t>
  </si>
  <si>
    <t xml:space="preserve"> de SH 80 m a 30 mtrs</t>
  </si>
  <si>
    <t>cambio de rodillo de acero y goma (prueba proveedor andritz). Tareas prog. Mantenimiento</t>
  </si>
  <si>
    <t>fin de regulaciones y ajustes.</t>
  </si>
  <si>
    <t>1333A03. se corta 6 cm antes de marca roja.</t>
  </si>
  <si>
    <t>rollos distintas medidas en canal 1. se corta energía y se prueban diferentes medidas.</t>
  </si>
  <si>
    <t>trabada de mangas</t>
  </si>
  <si>
    <t>corta mal canal n° 1. se cambian parámetros</t>
  </si>
  <si>
    <t>dosificador 3 tira rollos de mas. Mecánico cambia correas azules, correa dentada y polea.</t>
  </si>
  <si>
    <t>rollos mal cortados de canal 1. s corta energía se cambia de diámetro y sale andando.</t>
  </si>
  <si>
    <t>problama corte canal 1</t>
  </si>
  <si>
    <t>empalme se pega</t>
  </si>
  <si>
    <t>0721C03. enganche sin marcar a 46 cm de cono</t>
  </si>
  <si>
    <t>al pulsar jog salta emergencia de línea. Se resetean dinas y corte de energía</t>
  </si>
  <si>
    <t>se cambia raspador</t>
  </si>
  <si>
    <t>al pulsar jog. Salta falla de emergencia. Se cambia encoder de motor de debobinador 1</t>
  </si>
  <si>
    <t>972A05. corte total a mitad de bobina</t>
  </si>
  <si>
    <t>se cambia placa de encoder de debo 1.</t>
  </si>
  <si>
    <t>0972a17. enganche sin marcar. Corte total a mitad de bobina</t>
  </si>
  <si>
    <t>1001c02. corte total a40 cm de cono</t>
  </si>
  <si>
    <t>se cambia encoder de prensa</t>
  </si>
  <si>
    <t>se cambia correa superior rapida</t>
  </si>
  <si>
    <t>0252D13. sobre el cono se engancha por enhebrado final.</t>
  </si>
  <si>
    <t>de SH 30m a 50 m</t>
  </si>
  <si>
    <t>cambio papel+sector pack.</t>
  </si>
  <si>
    <t>se limpia prensa</t>
  </si>
  <si>
    <t>1722D09. enganche a mitad de bobina</t>
  </si>
  <si>
    <t>1721A12. corte total a 6 cm de cono</t>
  </si>
  <si>
    <t>se para a limpiar rodillos y subida de conos.</t>
  </si>
  <si>
    <t>de 50 mtrs a 30 mtrs x 4</t>
  </si>
  <si>
    <t>ajustes</t>
  </si>
  <si>
    <t>se pega en gofrador</t>
  </si>
  <si>
    <t>trabada en entrada de conos</t>
  </si>
  <si>
    <t>se pegan empalmes</t>
  </si>
  <si>
    <t>centrado de correa de paquetes a elevador de embolsadora. Estira rosca barrida.</t>
  </si>
  <si>
    <t>lleno</t>
  </si>
  <si>
    <t>se cambia manguera presión de SAB</t>
  </si>
  <si>
    <t>1673B12. corte total a 20 cm de cono</t>
  </si>
  <si>
    <t>Se modifica guía de brazo toma film.</t>
  </si>
  <si>
    <t>se corta corea rápida de tmc</t>
  </si>
  <si>
    <t>0972a08. dos corte totales. Mitad de bobina y a 6 cm de cono</t>
  </si>
  <si>
    <t>problema en picaporte de puerta dsr2. se retira de máquina para reparar. Maq. Queda en mergencia</t>
  </si>
  <si>
    <t>1693b11. corte total</t>
  </si>
  <si>
    <t>se encuantra un diente corrido y se acomoda</t>
  </si>
  <si>
    <t>se atasga manga entre cadenas y acumulador ambos lados. Se alinea saltando 1 diente en corona.</t>
  </si>
  <si>
    <t>1232D14. corte total a 20 cm de girar</t>
  </si>
  <si>
    <t>alrma aire-acite se agrega aceite al compresor</t>
  </si>
  <si>
    <t>precoret</t>
  </si>
  <si>
    <t>se cambia pistón y rotula en cuchilla de corte.</t>
  </si>
  <si>
    <t>conos flojos</t>
  </si>
  <si>
    <t>3513A10. corte antes y despues de marca</t>
  </si>
  <si>
    <t>2851B01. enganche sin marcar provova corte total</t>
  </si>
  <si>
    <t>Se cambia pistón de presión de gofrado LT. Pinchado. No toma gofrado</t>
  </si>
  <si>
    <t>conos con poco adhesivo. Manguera tapada con cola</t>
  </si>
  <si>
    <t>se para a dignosticar falla de mal corte 1er rollo.</t>
  </si>
  <si>
    <t>2772B15. enganche sin marcar. Corte total. Mitad de bobina</t>
  </si>
  <si>
    <t>se pasa adhesivo en manguera de aire de sifón.</t>
  </si>
  <si>
    <t>conos sin adhesivo. Electrico termina cambiando sifón que alimenta adhesivo.</t>
  </si>
  <si>
    <t>Eléctrico y mecaánico cambian sifón por adhesivo se pasa a manguera de aire.</t>
  </si>
  <si>
    <t>1252D03. enganche sin marcar luego cuerear marca roja.</t>
  </si>
  <si>
    <t>se pasa de largo final bobina</t>
  </si>
  <si>
    <t>bailarino se va para arriba. Mecánico cambia reg de aire y pistón.</t>
  </si>
  <si>
    <t>cambio de pistón de bailarino.</t>
  </si>
  <si>
    <t>Se cambia carrito de plegador lateral derecho</t>
  </si>
  <si>
    <t>se pasa de lasrgo final bobina.</t>
  </si>
  <si>
    <t>enganche debajo del sab</t>
  </si>
  <si>
    <t>Problema en tubetera con formación de tubete.</t>
  </si>
  <si>
    <t>Falla en nivel mínimo de compensador de aire/aceite.. Se encuentra válvula rota y luego se hace procedimiento de llenado</t>
  </si>
  <si>
    <t>se recibe línea parada por falta de conos. Se cambió y reguló raspador. Raspaba mucho y no pasaba adhesivo.</t>
  </si>
  <si>
    <t>se encuentra cuchilla de adhesivo partida. Se cambia caja de adhes. Final completa de repuesto.</t>
  </si>
  <si>
    <t>en 2 ocasiones se sale correa rapida superior</t>
  </si>
  <si>
    <t>0741A14. corte total</t>
  </si>
  <si>
    <t>se para a limpiar rodillos</t>
  </si>
  <si>
    <t>alarma 1105 "enderezador". Se encuentra que la máquina no tenía aire se coloca aire directo para continuar</t>
  </si>
  <si>
    <t>se corta energía. Puertas bloqueadas</t>
  </si>
  <si>
    <t>se limppia rodillos</t>
  </si>
  <si>
    <t>problemas. Recuperación de conos</t>
  </si>
  <si>
    <t>falla 1105. corte energía</t>
  </si>
  <si>
    <t>principio de turno problema en formación de conos</t>
  </si>
  <si>
    <t>se traba bailarino. Pérdida de mueca</t>
  </si>
  <si>
    <t>recup. De conos en varias oportunidades. Se cambia bocha.</t>
  </si>
  <si>
    <t>1233B18. corte total al final de bobina</t>
  </si>
  <si>
    <t>se coloca usada 2,5 x 1</t>
  </si>
  <si>
    <t>se parte cuchilla colocada turno anterior. Se coloca nueva 3X1</t>
  </si>
  <si>
    <t>reiterador cortes en precorte</t>
  </si>
  <si>
    <t>0702A01. corte total x enganche a mitad de bobina.</t>
  </si>
  <si>
    <t>se cambia cuchuilla x quedar mal colocada del día anterior. Rompe en el centro.</t>
  </si>
  <si>
    <t>se saca encoder de motor de planchón para probar el viejo y diagnósticat falla.</t>
  </si>
  <si>
    <t>cortes en precortes. Vibración en rodillos gofradores</t>
  </si>
  <si>
    <t>0693D16. corte total a pocos cm de finalizar.</t>
  </si>
  <si>
    <t>alarma 1105. se corta energía</t>
  </si>
  <si>
    <t>1331D14. enganche sin marcar a 10 cm de girar. Corte total</t>
  </si>
  <si>
    <t>se cambia rodillo gofrador. Se cambian encoder de motor de planchón cortadora. Mecanico cambia aje estriado de apertura de correas 10 y 11.</t>
  </si>
  <si>
    <t>se ajusta bornera y se cambia un driver.</t>
  </si>
  <si>
    <t>Mecánico guardia cambia correa dentada de prensa diatrol.</t>
  </si>
  <si>
    <t xml:space="preserve">Cambio sensor de home de paso de barra simple. </t>
  </si>
  <si>
    <t>Estira de cadenas de descarga de conos de acumulador y lubrica.</t>
  </si>
  <si>
    <t>3443B04. a partir de mitad de bobina comienza a estar volada LT. Provocando varios cortes. Se obseva papel mas fino.</t>
  </si>
  <si>
    <t>3 cortes en precorte. Limpieza modulo rebobinadora</t>
  </si>
  <si>
    <t>Alarma de seguridad variador cinta de elevador. Cable cortado se cambia.</t>
  </si>
  <si>
    <t>3281D03. corte total a 5 cm del cono</t>
  </si>
  <si>
    <t>corte en precorte.</t>
  </si>
  <si>
    <t>corte</t>
  </si>
  <si>
    <t>simulacro</t>
  </si>
  <si>
    <t>se sacan conos malo con poco adhesivo</t>
  </si>
  <si>
    <t>1253C07. corte total</t>
  </si>
  <si>
    <t>rollos despegados. Limpieza d caja de adhesivo</t>
  </si>
  <si>
    <t>Rodillo de mesa ovalados desacomodan bolsones. Pinz aplasta bolsón.</t>
  </si>
  <si>
    <t>tubete despegados</t>
  </si>
  <si>
    <t>se agrega adhesvo puro por falta de pagado final</t>
  </si>
  <si>
    <t>se cambia pistón de pinza toma producto. No leen los sensores finales de carrera</t>
  </si>
  <si>
    <t>rota</t>
  </si>
  <si>
    <t>2171C05. corte total cerca del cono</t>
  </si>
  <si>
    <t>se enderaz chapa de boquilla</t>
  </si>
  <si>
    <t>Pistón de pinza toma producto falla nuevamente. No lee final de carrera. Se cambia por uno nuevo</t>
  </si>
  <si>
    <t>empalme</t>
  </si>
  <si>
    <t>se cambia pico de adhesivo caliente. Tapado tira mal.</t>
  </si>
  <si>
    <t>1422A07. corte total a 6 cm del cono</t>
  </si>
  <si>
    <t>1422A11. corte total x enganche a 32 cm del cono.</t>
  </si>
  <si>
    <t>trabadas en cadena de descarga</t>
  </si>
  <si>
    <t>1232D03,enganche sin marcar a 3 cm del cono.</t>
  </si>
  <si>
    <t>se corta correa rapida sup. Se va a abuscar a pañol y se reemplaza</t>
  </si>
  <si>
    <t>correa dentada floja de de rodillo 8. estira desoldado. Mecanico suelda y coloca</t>
  </si>
  <si>
    <t>papel no felpita</t>
  </si>
  <si>
    <t>cambio de rodamiento de poleas de correa lenta inferior.</t>
  </si>
  <si>
    <t>0731C15. enganche sin marcar a 78 cm cono.</t>
  </si>
  <si>
    <t>0721C12. corte total a 7 cm buje</t>
  </si>
  <si>
    <t>0703B06. corte por papel mal marcado</t>
  </si>
  <si>
    <t>sensor de tolva de conera deja de andar</t>
  </si>
  <si>
    <t>se rompe tornillo de polea de desenrollador</t>
  </si>
  <si>
    <t>se traban conos</t>
  </si>
  <si>
    <t>precorte. Limpieza rodillos</t>
  </si>
  <si>
    <t>1443B13 corte total</t>
  </si>
  <si>
    <t>se cambia rodillo gofrador. Celeste n° 6</t>
  </si>
  <si>
    <t>cambio rodamiento de poleas de correas lentas.</t>
  </si>
  <si>
    <t>0732D02. corte total a 5 cm de girar</t>
  </si>
  <si>
    <t>corte energia</t>
  </si>
  <si>
    <t>se cambia cont. De adhesivo se agrega adhesivo puro</t>
  </si>
  <si>
    <t>0831D03 enganche sin marcar a 10 cm del cono</t>
  </si>
  <si>
    <t>0271A11. bobina con 1 corte total a 10 cm del cono sin marcar</t>
  </si>
  <si>
    <t xml:space="preserve">se revisa encoder y posición del planchón para diaganósticar problema de mar corte </t>
  </si>
  <si>
    <t>0733B18. enganche a 5 cm del cono provoca corte total</t>
  </si>
  <si>
    <t>0691C05. corte total a 30 cm del cono</t>
  </si>
  <si>
    <t>Precorte</t>
  </si>
  <si>
    <t>Se pega empalme</t>
  </si>
  <si>
    <t>Regulación de cuchilla de refilado L.S. Corte marcado</t>
  </si>
  <si>
    <t>se sale carro de endezador</t>
  </si>
  <si>
    <t>Turno noche.Se cambia contactor. Problemas con elevador de bobinas de film.</t>
  </si>
  <si>
    <t>correa rota debobinador 1</t>
  </si>
  <si>
    <t>fallo en sincronismo de cadenas. Se baja velocidad refilador a 30</t>
  </si>
  <si>
    <t>Paquetes abiertos. se coloca cadena rápida superior lado salida</t>
  </si>
  <si>
    <t>Estiramienco cadena Pentes</t>
  </si>
  <si>
    <t>bob 0413405 con 2 cortes totales</t>
  </si>
  <si>
    <t>TT. Paquetes abiertos por registro de film. Se cambian 4 correas rapidas+polea mando.</t>
  </si>
  <si>
    <t>3392A16 corte por enganche al terminar bobina</t>
  </si>
  <si>
    <t>corte al arranque bobina. Golpeada</t>
  </si>
  <si>
    <t>mecanico ajusta tornillo flojo de brazo de mando de plegador</t>
  </si>
  <si>
    <t>paquetes abiertos</t>
  </si>
  <si>
    <t>3391c11 corte total papel a pocos cm de terminarse.</t>
  </si>
  <si>
    <t>corte en precorte. Limpieza de rodillo inferior.</t>
  </si>
  <si>
    <t>falla emerencia. Electrico encuentra ficha floja</t>
  </si>
  <si>
    <t>0403d03. enganche sin marcar a mitad de bobina.</t>
  </si>
  <si>
    <t>0403d06. enganche marcado</t>
  </si>
  <si>
    <t>corte en gofrador por tubete mal formado.</t>
  </si>
  <si>
    <t>Se corta mucho el papel. Menor diametro. No se puede subir velocidad x corte.</t>
  </si>
  <si>
    <t>film cartabella rebobinado en ciclo. Perdida de taco y paquetes abiertos</t>
  </si>
  <si>
    <t>corte total. enganche marcado.</t>
  </si>
  <si>
    <t>TN . Reductor servomotor bloqueado. Fallo plegador de cabeza 5124.</t>
  </si>
  <si>
    <t>enganche de empalme en cepillo antiestátco</t>
  </si>
  <si>
    <t>falta de deslizamiento. Se rechaza</t>
  </si>
  <si>
    <t>corte en gofrador. Limpieza de rodillo.</t>
  </si>
  <si>
    <t>3 corte en gofrador</t>
  </si>
  <si>
    <t>Limpieza y lubricación cadenas pentes. Se suelda correa enhebrado en prensa arrastre salida gofrador.</t>
  </si>
  <si>
    <t>Problemas con rodelas 90 mm estan marcadas.</t>
  </si>
  <si>
    <t>no se encuentra taca y film no avanza a correas rapidas</t>
  </si>
  <si>
    <t>Se clava rodamiento de  prensa de Rodillo 8</t>
  </si>
  <si>
    <t>reunión galiardi</t>
  </si>
  <si>
    <t>calentamiento + cambio de producto</t>
  </si>
  <si>
    <t>0701C12 corte total a pocos cm de terminarse</t>
  </si>
  <si>
    <t>0703B01 1 corte total y 2 en precorte.</t>
  </si>
  <si>
    <t>0272D16 corte total enganche sin marcar a mitad de bobina</t>
  </si>
  <si>
    <t>0281A06 corte total a 50 cm de cono</t>
  </si>
  <si>
    <t>Problemas con rodelas 90 mm estan marcadas. Reiterados cortes</t>
  </si>
  <si>
    <t>0272D02 con corte marcado se corta mucho antes.</t>
  </si>
  <si>
    <t>corte en gofrador. Empalme.</t>
  </si>
  <si>
    <t>Ajustes y modificaciones en empaquetadora paa mejorar calidad de paquite (silver de TMC)</t>
  </si>
  <si>
    <t>corte en gofrador.</t>
  </si>
  <si>
    <t>2 cortes total de papel. PH3 ; 2772B08, 2772B01</t>
  </si>
  <si>
    <t>acum lleno. Mecanico estira cinta ancha negra entrada clasificadores,</t>
  </si>
  <si>
    <t>se dobla chapon del tunel lateral. Se lleva a taller.</t>
  </si>
  <si>
    <t xml:space="preserve">cortes en precorte.se desajusta tornillo allen de la medialuna del muñeco de cuchilla fija. </t>
  </si>
  <si>
    <t>corte total. Sobre el final engancho. 2772B02.</t>
  </si>
  <si>
    <t>se corta papel antes de marca roja.</t>
  </si>
  <si>
    <t>Brazo de fotocelula de taco no se desplaza correctamente en cambio de bobina.se pone en fallo. Se traba en eje estriado que se coloco nuevo en la semana. Se destraba y lubrica</t>
  </si>
  <si>
    <t>0433D14 corte total sobre corte marcado</t>
  </si>
  <si>
    <t>2 cortes en el turno. Se pasa a generador</t>
  </si>
  <si>
    <t>0761A06 muchos cortes. Bobina tiene menor gramaje. 18 gr. Rotulo PH220</t>
  </si>
  <si>
    <t>fallo bandas metálicas externo. Se cambia 2 bandas metálicas y resistencias lado externo.</t>
  </si>
  <si>
    <t>fallo bandas metálicas externo. Se cambia de energia a red</t>
  </si>
  <si>
    <t>puerta no funciona cerradura y no habilita</t>
  </si>
  <si>
    <t>0443D15 cortes en gofrador y precorte</t>
  </si>
  <si>
    <t>Piso de plegador inferior se levantó bloqueando paso de paquetes. Se retira para enderesar y colocar nuevamente</t>
  </si>
  <si>
    <t>0443d14. corte total</t>
  </si>
  <si>
    <t>Se realiza home cortadora x dif entre 1 y ultimo rollo. Mangas se quedan trabadas en mordaza y muñeco rompe cuchilla. Se tuerce mordaza y se llama a mecanico.</t>
  </si>
  <si>
    <t>se recibe linea parada para terminar de cambiar cuchilla</t>
  </si>
  <si>
    <t>corte total + pegado en empalme</t>
  </si>
  <si>
    <t>ratura cuchilla LT</t>
  </si>
  <si>
    <t>dosificador n3 comienza a no tirar rollos. Se vacía y hace home y anda</t>
  </si>
  <si>
    <t>Arranque TM. Rodamientos rotos en mesa elevadora</t>
  </si>
  <si>
    <t>se escapa cono en transferencia. Se sondea diam tampon a 42 mm</t>
  </si>
  <si>
    <t>se cambia carro / rod lineal de elevador de empaquetadora.</t>
  </si>
  <si>
    <t>cambio de cantidad x paquete de 4 a 12. Mantenimiento programado TMC para cambian cadenas de pentes y rodamiento lineal de plagador de film.</t>
  </si>
  <si>
    <t>Mecánico regula banda negra de elevador de emboldadora. Se desplaza y genera rozamiento bajando velocidad con riesgo de rotura.</t>
  </si>
  <si>
    <t>se para a limpiar film pegado entre chapón y soldador. Se llena acumulador-</t>
  </si>
  <si>
    <t>en cambio de bobina, guia de barra de film se pasa de largo chocando contra el piso y provoca que salte térmica.</t>
  </si>
  <si>
    <t>cambio de motor de mando de cinta de entrada de conos. Motor con temperatura deja de girar.</t>
  </si>
  <si>
    <t>varias trabadas. Acumulador lleno.</t>
  </si>
  <si>
    <t>se cambia tmc de 12 a x 4. mant. Electric trabaja en embolsadora. Soldador longitudinal variaión de temp.</t>
  </si>
  <si>
    <t>corte en precorte. Se limpia prensa. Rod. Inferior y plano.</t>
  </si>
  <si>
    <t>trabade de tubetes en tolva.</t>
  </si>
  <si>
    <t>mecanico cambia regulador de aire en la parte de soplos x pérdida. Problemas en plegado de paquetes.</t>
  </si>
  <si>
    <t>cambio de corres de tefoln izquierda.</t>
  </si>
  <si>
    <t>problema en dosificador 1. piso leventa y engancha rollo. Regulaciones</t>
  </si>
  <si>
    <t>falla: segurida contra plegador de cabeza5124</t>
  </si>
  <si>
    <t>rollo n4 mal cortado. Modificación de variable</t>
  </si>
  <si>
    <t>se rompe LS</t>
  </si>
  <si>
    <t>se traban mangas en mariposa de carga acumulador</t>
  </si>
  <si>
    <t>SE CORTA CORREA FORMADORA</t>
  </si>
  <si>
    <t>se levanta estructura de cinta de alimentación para evitar que se enganchen rollos en piso de dosificador</t>
  </si>
  <si>
    <t>0771A09 corte en recorte a 650 m/min.</t>
  </si>
  <si>
    <t>corte total 0771A10</t>
  </si>
  <si>
    <t>corte en precorte. Papel trabado entre cuchilla fija y moviles.</t>
  </si>
  <si>
    <t>salen rollos sin film. Film queda trabado en cuchillas y poleas.</t>
  </si>
  <si>
    <t>falla en kuka. Sensor de home 821</t>
  </si>
  <si>
    <t>rollos sin film. Se cambia cuchilla de film.</t>
  </si>
  <si>
    <t>pH3</t>
  </si>
  <si>
    <t>3 cortes consecutivos. Cuchilla de pegado de transferencia queda arriba. Mecánico cambia electrovalvula.</t>
  </si>
  <si>
    <t>reunión con schiaffino. Eficiencia + calidad</t>
  </si>
  <si>
    <t>se cambia rodillo de goma por vibración</t>
  </si>
  <si>
    <t>mecanico coloca acoples faltantes en rodillo de goma que estaba en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</si>
</sst>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0" fillId="3" borderId="0" xfId="0" applyNumberFormat="1" applyFill="1"/>
    <xf numFmtId="0" fontId="3" fillId="3" borderId="0" xfId="0" applyFont="1" applyFill="1" applyAlignment="1">
      <alignment horizontal="left" vertical="center"/>
    </xf>
    <xf numFmtId="1" fontId="0" fillId="4" borderId="0" xfId="2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164" fontId="0" fillId="3" borderId="0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0" xfId="0" applyFill="1"/>
    <xf numFmtId="16" fontId="0" fillId="0" borderId="0" xfId="0" applyNumberFormat="1"/>
    <xf numFmtId="164" fontId="0" fillId="0" borderId="0" xfId="1" applyNumberFormat="1" applyFont="1" applyFill="1" applyBorder="1" applyAlignment="1">
      <alignment horizontal="center" vertical="center"/>
    </xf>
    <xf numFmtId="16" fontId="0" fillId="4" borderId="0" xfId="0" applyNumberFormat="1" applyFill="1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1" fontId="0" fillId="0" borderId="0" xfId="2" applyNumberFormat="1" applyFont="1" applyAlignment="1">
      <alignment horizontal="center"/>
    </xf>
    <xf numFmtId="16" fontId="0" fillId="0" borderId="0" xfId="0" applyNumberFormat="1" applyAlignment="1">
      <alignment vertical="center"/>
    </xf>
    <xf numFmtId="1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64" fontId="0" fillId="4" borderId="0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164" fontId="0" fillId="0" borderId="0" xfId="1" applyNumberFormat="1" applyFont="1" applyFill="1" applyBorder="1" applyAlignment="1">
      <alignment horizontal="left" vertical="center"/>
    </xf>
    <xf numFmtId="164" fontId="0" fillId="4" borderId="0" xfId="1" applyNumberFormat="1" applyFont="1" applyFill="1" applyBorder="1" applyAlignment="1">
      <alignment horizontal="left" vertical="center"/>
    </xf>
    <xf numFmtId="16" fontId="0" fillId="5" borderId="0" xfId="0" applyNumberFormat="1" applyFill="1"/>
    <xf numFmtId="1" fontId="0" fillId="3" borderId="0" xfId="2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5" fontId="0" fillId="0" borderId="0" xfId="2" applyNumberFormat="1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EEAB-0E11-4B25-9EF3-6B5DF02B8ABC}">
  <dimension ref="A1:H170"/>
  <sheetViews>
    <sheetView tabSelected="1" topLeftCell="A13" zoomScaleNormal="100" workbookViewId="0">
      <selection activeCell="C1" sqref="C1"/>
    </sheetView>
  </sheetViews>
  <sheetFormatPr baseColWidth="10" defaultRowHeight="15" x14ac:dyDescent="0.25"/>
  <cols>
    <col min="2" max="2" width="16.140625" customWidth="1"/>
    <col min="3" max="3" width="15.42578125" bestFit="1" customWidth="1"/>
    <col min="4" max="4" width="17.28515625" style="2" customWidth="1"/>
    <col min="5" max="5" width="16.5703125" bestFit="1" customWidth="1"/>
    <col min="6" max="6" width="18.28515625" customWidth="1"/>
    <col min="7" max="7" width="34.42578125" customWidth="1"/>
    <col min="8" max="8" width="69.5703125" customWidth="1"/>
  </cols>
  <sheetData>
    <row r="1" spans="1:8" s="10" customFormat="1" x14ac:dyDescent="0.25">
      <c r="A1" s="1" t="s">
        <v>40</v>
      </c>
      <c r="B1" s="1" t="s">
        <v>0</v>
      </c>
      <c r="C1" s="1" t="s">
        <v>41</v>
      </c>
      <c r="D1" s="1" t="s">
        <v>42</v>
      </c>
      <c r="E1" s="3" t="s">
        <v>1</v>
      </c>
      <c r="F1" s="3" t="s">
        <v>43</v>
      </c>
      <c r="G1" s="3" t="s">
        <v>2</v>
      </c>
      <c r="H1" s="3" t="s">
        <v>273</v>
      </c>
    </row>
    <row r="2" spans="1:8" x14ac:dyDescent="0.25">
      <c r="A2" s="18">
        <v>46082</v>
      </c>
      <c r="B2" s="4" t="s">
        <v>6</v>
      </c>
      <c r="C2" s="23">
        <v>5</v>
      </c>
      <c r="D2" s="23"/>
      <c r="E2" s="37" t="s">
        <v>10</v>
      </c>
      <c r="F2" s="9" t="s">
        <v>11</v>
      </c>
      <c r="G2" s="9" t="s">
        <v>13</v>
      </c>
      <c r="H2" s="9" t="s">
        <v>444</v>
      </c>
    </row>
    <row r="3" spans="1:8" x14ac:dyDescent="0.25">
      <c r="A3" s="18">
        <v>46082</v>
      </c>
      <c r="B3" s="4" t="s">
        <v>6</v>
      </c>
      <c r="C3" s="23">
        <v>5</v>
      </c>
      <c r="D3" s="23"/>
      <c r="E3" s="37" t="s">
        <v>10</v>
      </c>
      <c r="F3" s="9" t="s">
        <v>19</v>
      </c>
      <c r="G3" t="s">
        <v>20</v>
      </c>
      <c r="H3" s="9" t="s">
        <v>445</v>
      </c>
    </row>
    <row r="4" spans="1:8" x14ac:dyDescent="0.25">
      <c r="A4" s="18">
        <v>46082</v>
      </c>
      <c r="B4" s="4" t="s">
        <v>6</v>
      </c>
      <c r="C4" s="23">
        <v>10</v>
      </c>
      <c r="D4" s="23"/>
      <c r="E4" s="37" t="s">
        <v>10</v>
      </c>
      <c r="F4" s="9" t="s">
        <v>26</v>
      </c>
      <c r="G4" t="s">
        <v>27</v>
      </c>
      <c r="H4" s="9" t="s">
        <v>446</v>
      </c>
    </row>
    <row r="5" spans="1:8" x14ac:dyDescent="0.25">
      <c r="A5" s="18">
        <v>46082</v>
      </c>
      <c r="B5" s="4" t="s">
        <v>6</v>
      </c>
      <c r="C5" s="23">
        <v>20</v>
      </c>
      <c r="D5" s="23">
        <v>8</v>
      </c>
      <c r="E5" s="19" t="s">
        <v>10</v>
      </c>
      <c r="F5" s="9" t="s">
        <v>31</v>
      </c>
      <c r="G5" t="s">
        <v>18</v>
      </c>
      <c r="H5" s="9" t="s">
        <v>447</v>
      </c>
    </row>
    <row r="6" spans="1:8" x14ac:dyDescent="0.25">
      <c r="A6" s="18">
        <v>46082</v>
      </c>
      <c r="B6" s="4" t="s">
        <v>8</v>
      </c>
      <c r="C6" s="23">
        <v>10</v>
      </c>
      <c r="D6" s="23"/>
      <c r="E6" s="19" t="s">
        <v>10</v>
      </c>
      <c r="F6" s="9" t="s">
        <v>11</v>
      </c>
      <c r="G6" t="s">
        <v>12</v>
      </c>
    </row>
    <row r="7" spans="1:8" x14ac:dyDescent="0.25">
      <c r="A7" s="18">
        <v>46082</v>
      </c>
      <c r="B7" s="4" t="s">
        <v>8</v>
      </c>
      <c r="C7" s="23">
        <v>15</v>
      </c>
      <c r="D7" s="23">
        <v>8</v>
      </c>
      <c r="E7" s="19" t="s">
        <v>10</v>
      </c>
      <c r="F7" s="9" t="s">
        <v>11</v>
      </c>
      <c r="G7" s="9" t="s">
        <v>13</v>
      </c>
      <c r="H7" s="9" t="s">
        <v>444</v>
      </c>
    </row>
    <row r="8" spans="1:8" x14ac:dyDescent="0.25">
      <c r="A8" s="18">
        <v>46083</v>
      </c>
      <c r="B8" s="4" t="s">
        <v>8</v>
      </c>
      <c r="C8" s="23">
        <v>10</v>
      </c>
      <c r="D8" s="23">
        <v>8</v>
      </c>
      <c r="E8" s="19" t="s">
        <v>10</v>
      </c>
      <c r="F8" s="9" t="s">
        <v>11</v>
      </c>
      <c r="G8" s="9" t="s">
        <v>13</v>
      </c>
    </row>
    <row r="9" spans="1:8" x14ac:dyDescent="0.25">
      <c r="A9" s="18">
        <v>46083</v>
      </c>
      <c r="B9" s="4" t="s">
        <v>3</v>
      </c>
      <c r="C9" s="23">
        <v>15</v>
      </c>
      <c r="D9" s="23">
        <v>8</v>
      </c>
      <c r="E9" s="19" t="s">
        <v>10</v>
      </c>
      <c r="F9" s="9" t="s">
        <v>11</v>
      </c>
      <c r="G9" t="s">
        <v>13</v>
      </c>
    </row>
    <row r="10" spans="1:8" x14ac:dyDescent="0.25">
      <c r="A10" s="18">
        <v>46083</v>
      </c>
      <c r="B10" s="4" t="s">
        <v>6</v>
      </c>
      <c r="C10" s="23">
        <v>120</v>
      </c>
      <c r="D10" s="23"/>
      <c r="E10" s="19" t="s">
        <v>4</v>
      </c>
      <c r="F10" s="9" t="s">
        <v>29</v>
      </c>
      <c r="G10" t="s">
        <v>7</v>
      </c>
      <c r="H10" t="s">
        <v>448</v>
      </c>
    </row>
    <row r="11" spans="1:8" x14ac:dyDescent="0.25">
      <c r="A11" s="18">
        <v>46083</v>
      </c>
      <c r="B11" s="4" t="s">
        <v>6</v>
      </c>
      <c r="C11" s="23">
        <v>20</v>
      </c>
      <c r="D11" s="23"/>
      <c r="E11" s="19" t="s">
        <v>10</v>
      </c>
      <c r="F11" s="9" t="s">
        <v>24</v>
      </c>
      <c r="G11" t="s">
        <v>25</v>
      </c>
    </row>
    <row r="12" spans="1:8" x14ac:dyDescent="0.25">
      <c r="A12" s="18">
        <v>46083</v>
      </c>
      <c r="B12" s="4" t="s">
        <v>6</v>
      </c>
      <c r="C12" s="23">
        <v>15</v>
      </c>
      <c r="D12" s="23">
        <v>8</v>
      </c>
      <c r="E12" s="19" t="s">
        <v>10</v>
      </c>
      <c r="F12" s="9" t="s">
        <v>11</v>
      </c>
      <c r="G12" t="s">
        <v>13</v>
      </c>
    </row>
    <row r="13" spans="1:8" x14ac:dyDescent="0.25">
      <c r="A13" s="18">
        <v>46084</v>
      </c>
      <c r="B13" s="4" t="s">
        <v>8</v>
      </c>
      <c r="C13" s="23">
        <v>30</v>
      </c>
      <c r="D13" s="23">
        <v>8</v>
      </c>
      <c r="E13" s="19" t="s">
        <v>4</v>
      </c>
      <c r="F13" s="9" t="s">
        <v>17</v>
      </c>
      <c r="G13" t="s">
        <v>5</v>
      </c>
      <c r="H13" t="s">
        <v>449</v>
      </c>
    </row>
    <row r="14" spans="1:8" x14ac:dyDescent="0.25">
      <c r="A14" s="18">
        <v>46084</v>
      </c>
      <c r="B14" s="4" t="s">
        <v>3</v>
      </c>
      <c r="C14" s="23">
        <v>10</v>
      </c>
      <c r="D14" s="23"/>
      <c r="E14" s="19" t="s">
        <v>10</v>
      </c>
      <c r="F14" s="9" t="s">
        <v>19</v>
      </c>
      <c r="G14" t="s">
        <v>20</v>
      </c>
      <c r="H14" s="9" t="s">
        <v>445</v>
      </c>
    </row>
    <row r="15" spans="1:8" x14ac:dyDescent="0.25">
      <c r="A15" s="18">
        <v>46084</v>
      </c>
      <c r="B15" s="4" t="s">
        <v>3</v>
      </c>
      <c r="C15" s="23">
        <v>10</v>
      </c>
      <c r="D15" s="23"/>
      <c r="E15" s="19" t="s">
        <v>10</v>
      </c>
      <c r="F15" s="9" t="s">
        <v>26</v>
      </c>
      <c r="G15" t="s">
        <v>18</v>
      </c>
      <c r="H15" t="s">
        <v>450</v>
      </c>
    </row>
    <row r="16" spans="1:8" x14ac:dyDescent="0.25">
      <c r="A16" s="18">
        <v>46084</v>
      </c>
      <c r="B16" s="4" t="s">
        <v>3</v>
      </c>
      <c r="C16" s="23">
        <v>15</v>
      </c>
      <c r="D16" s="23"/>
      <c r="E16" s="19" t="s">
        <v>10</v>
      </c>
      <c r="F16" s="9" t="s">
        <v>29</v>
      </c>
      <c r="G16" t="s">
        <v>18</v>
      </c>
      <c r="H16" t="s">
        <v>451</v>
      </c>
    </row>
    <row r="17" spans="1:8" x14ac:dyDescent="0.25">
      <c r="A17" s="18">
        <v>46084</v>
      </c>
      <c r="B17" s="4" t="s">
        <v>3</v>
      </c>
      <c r="C17" s="23">
        <v>20</v>
      </c>
      <c r="D17" s="23">
        <v>8</v>
      </c>
      <c r="E17" s="19" t="s">
        <v>4</v>
      </c>
      <c r="F17" s="9" t="s">
        <v>29</v>
      </c>
      <c r="G17" t="s">
        <v>5</v>
      </c>
      <c r="H17" t="s">
        <v>452</v>
      </c>
    </row>
    <row r="18" spans="1:8" x14ac:dyDescent="0.25">
      <c r="A18" s="18">
        <v>46084</v>
      </c>
      <c r="B18" s="4" t="s">
        <v>6</v>
      </c>
      <c r="C18" s="23">
        <v>20</v>
      </c>
      <c r="D18" s="23">
        <v>8</v>
      </c>
      <c r="E18" s="19" t="s">
        <v>10</v>
      </c>
      <c r="F18" s="9" t="s">
        <v>11</v>
      </c>
      <c r="G18" t="s">
        <v>13</v>
      </c>
      <c r="H18" t="s">
        <v>453</v>
      </c>
    </row>
    <row r="19" spans="1:8" x14ac:dyDescent="0.25">
      <c r="A19" s="18">
        <v>46085</v>
      </c>
      <c r="B19" s="4" t="s">
        <v>8</v>
      </c>
      <c r="C19" s="23">
        <v>0</v>
      </c>
      <c r="D19" s="23">
        <v>8</v>
      </c>
    </row>
    <row r="20" spans="1:8" x14ac:dyDescent="0.25">
      <c r="A20" s="18">
        <v>46085</v>
      </c>
      <c r="B20" s="4" t="s">
        <v>3</v>
      </c>
      <c r="C20" s="23">
        <v>120</v>
      </c>
      <c r="D20" s="23">
        <v>8</v>
      </c>
      <c r="E20" s="19" t="s">
        <v>4</v>
      </c>
      <c r="F20" s="9" t="s">
        <v>29</v>
      </c>
      <c r="G20" t="s">
        <v>5</v>
      </c>
      <c r="H20" t="s">
        <v>454</v>
      </c>
    </row>
    <row r="21" spans="1:8" x14ac:dyDescent="0.25">
      <c r="A21" s="18">
        <v>46085</v>
      </c>
      <c r="B21" s="4" t="s">
        <v>6</v>
      </c>
      <c r="C21" s="23">
        <v>10</v>
      </c>
      <c r="D21" s="23">
        <v>8</v>
      </c>
      <c r="E21" s="19" t="s">
        <v>10</v>
      </c>
      <c r="F21" s="9" t="s">
        <v>16</v>
      </c>
      <c r="G21" t="s">
        <v>13</v>
      </c>
      <c r="H21" t="s">
        <v>455</v>
      </c>
    </row>
    <row r="22" spans="1:8" x14ac:dyDescent="0.25">
      <c r="A22" s="18">
        <v>46086</v>
      </c>
      <c r="B22" s="4" t="s">
        <v>8</v>
      </c>
      <c r="C22" s="23"/>
      <c r="D22" s="23">
        <v>8</v>
      </c>
    </row>
    <row r="23" spans="1:8" x14ac:dyDescent="0.25">
      <c r="A23" s="18">
        <v>46086</v>
      </c>
      <c r="B23" s="4" t="s">
        <v>3</v>
      </c>
      <c r="C23" s="23">
        <v>15</v>
      </c>
      <c r="D23" s="23"/>
      <c r="E23" s="19" t="s">
        <v>10</v>
      </c>
      <c r="F23" s="9" t="s">
        <v>11</v>
      </c>
      <c r="G23" t="s">
        <v>13</v>
      </c>
      <c r="H23" t="s">
        <v>456</v>
      </c>
    </row>
    <row r="24" spans="1:8" x14ac:dyDescent="0.25">
      <c r="A24" s="18">
        <v>46086</v>
      </c>
      <c r="B24" s="4" t="s">
        <v>3</v>
      </c>
      <c r="C24" s="23">
        <v>5</v>
      </c>
      <c r="D24" s="23">
        <v>8</v>
      </c>
      <c r="E24" s="19" t="s">
        <v>4</v>
      </c>
      <c r="F24" s="9" t="s">
        <v>29</v>
      </c>
      <c r="G24" t="s">
        <v>5</v>
      </c>
      <c r="H24" t="s">
        <v>457</v>
      </c>
    </row>
    <row r="25" spans="1:8" x14ac:dyDescent="0.25">
      <c r="A25" s="18">
        <v>46086</v>
      </c>
      <c r="B25" s="4" t="s">
        <v>6</v>
      </c>
      <c r="C25" s="23">
        <v>10</v>
      </c>
      <c r="D25" s="23"/>
      <c r="E25" s="19" t="s">
        <v>10</v>
      </c>
      <c r="F25" s="9" t="s">
        <v>29</v>
      </c>
      <c r="G25" t="s">
        <v>18</v>
      </c>
      <c r="H25" t="s">
        <v>458</v>
      </c>
    </row>
    <row r="26" spans="1:8" x14ac:dyDescent="0.25">
      <c r="A26" s="18">
        <v>46086</v>
      </c>
      <c r="B26" s="4" t="s">
        <v>6</v>
      </c>
      <c r="C26" s="23">
        <v>15</v>
      </c>
      <c r="D26" s="23"/>
      <c r="E26" s="19" t="s">
        <v>10</v>
      </c>
      <c r="F26" s="9" t="s">
        <v>16</v>
      </c>
      <c r="G26" t="s">
        <v>13</v>
      </c>
      <c r="H26" t="s">
        <v>459</v>
      </c>
    </row>
    <row r="27" spans="1:8" x14ac:dyDescent="0.25">
      <c r="A27" s="18">
        <v>46086</v>
      </c>
      <c r="B27" s="4" t="s">
        <v>6</v>
      </c>
      <c r="C27" s="23">
        <v>10</v>
      </c>
      <c r="D27" s="23">
        <v>8</v>
      </c>
      <c r="E27" s="19" t="s">
        <v>10</v>
      </c>
      <c r="F27" s="9" t="s">
        <v>11</v>
      </c>
      <c r="G27" t="s">
        <v>13</v>
      </c>
      <c r="H27" t="s">
        <v>460</v>
      </c>
    </row>
    <row r="28" spans="1:8" x14ac:dyDescent="0.25">
      <c r="A28" s="18">
        <v>46087</v>
      </c>
      <c r="B28" s="4" t="s">
        <v>8</v>
      </c>
      <c r="C28" s="23">
        <v>50</v>
      </c>
      <c r="D28" s="38">
        <v>7.5</v>
      </c>
      <c r="E28" s="19" t="s">
        <v>10</v>
      </c>
      <c r="F28" s="9" t="s">
        <v>11</v>
      </c>
      <c r="G28" t="s">
        <v>14</v>
      </c>
    </row>
    <row r="29" spans="1:8" x14ac:dyDescent="0.25">
      <c r="A29" s="18">
        <v>46087</v>
      </c>
      <c r="B29" s="4" t="s">
        <v>3</v>
      </c>
      <c r="C29" s="23">
        <v>20</v>
      </c>
      <c r="D29" s="23"/>
      <c r="E29" s="19" t="s">
        <v>4</v>
      </c>
      <c r="F29" s="9" t="s">
        <v>11</v>
      </c>
      <c r="G29" t="s">
        <v>7</v>
      </c>
      <c r="H29" t="s">
        <v>461</v>
      </c>
    </row>
    <row r="30" spans="1:8" x14ac:dyDescent="0.25">
      <c r="A30" s="18">
        <v>46087</v>
      </c>
      <c r="B30" s="4" t="s">
        <v>3</v>
      </c>
      <c r="C30" s="23">
        <v>10</v>
      </c>
      <c r="D30" s="23">
        <v>8</v>
      </c>
      <c r="E30" s="19" t="s">
        <v>10</v>
      </c>
      <c r="F30" s="9" t="s">
        <v>16</v>
      </c>
      <c r="G30" t="s">
        <v>13</v>
      </c>
      <c r="H30" t="s">
        <v>462</v>
      </c>
    </row>
    <row r="31" spans="1:8" x14ac:dyDescent="0.25">
      <c r="A31" s="18">
        <v>46087</v>
      </c>
      <c r="B31" s="4" t="s">
        <v>6</v>
      </c>
      <c r="C31" s="23">
        <v>15</v>
      </c>
      <c r="D31" s="23"/>
      <c r="E31" s="19" t="s">
        <v>10</v>
      </c>
      <c r="F31" s="9" t="s">
        <v>16</v>
      </c>
      <c r="G31" t="s">
        <v>13</v>
      </c>
      <c r="H31" t="s">
        <v>463</v>
      </c>
    </row>
    <row r="32" spans="1:8" x14ac:dyDescent="0.25">
      <c r="A32" s="18">
        <v>46087</v>
      </c>
      <c r="B32" s="4" t="s">
        <v>6</v>
      </c>
      <c r="C32" s="23">
        <v>15</v>
      </c>
      <c r="D32" s="23">
        <v>8</v>
      </c>
      <c r="E32" s="19" t="s">
        <v>10</v>
      </c>
      <c r="F32" s="9" t="s">
        <v>11</v>
      </c>
      <c r="G32" t="s">
        <v>13</v>
      </c>
      <c r="H32" t="s">
        <v>464</v>
      </c>
    </row>
    <row r="33" spans="1:8" x14ac:dyDescent="0.25">
      <c r="A33" s="18">
        <v>46088</v>
      </c>
      <c r="B33" s="4" t="s">
        <v>8</v>
      </c>
      <c r="C33" s="23">
        <v>15</v>
      </c>
      <c r="D33" s="23">
        <v>8</v>
      </c>
      <c r="E33" s="19" t="s">
        <v>10</v>
      </c>
      <c r="F33" s="9" t="s">
        <v>28</v>
      </c>
      <c r="G33" t="s">
        <v>18</v>
      </c>
      <c r="H33" t="s">
        <v>465</v>
      </c>
    </row>
    <row r="34" spans="1:8" x14ac:dyDescent="0.25">
      <c r="A34" s="18">
        <v>46088</v>
      </c>
      <c r="B34" s="4" t="s">
        <v>3</v>
      </c>
      <c r="C34" s="23">
        <v>20</v>
      </c>
      <c r="D34" s="23"/>
      <c r="E34" s="19" t="s">
        <v>10</v>
      </c>
      <c r="F34" s="9" t="s">
        <v>28</v>
      </c>
      <c r="G34" t="s">
        <v>18</v>
      </c>
      <c r="H34" t="s">
        <v>465</v>
      </c>
    </row>
    <row r="35" spans="1:8" x14ac:dyDescent="0.25">
      <c r="A35" s="18">
        <v>46088</v>
      </c>
      <c r="B35" s="4" t="s">
        <v>3</v>
      </c>
      <c r="C35" s="23">
        <v>15</v>
      </c>
      <c r="D35" s="23"/>
      <c r="E35" s="19" t="s">
        <v>10</v>
      </c>
      <c r="F35" s="9" t="s">
        <v>29</v>
      </c>
      <c r="G35" t="s">
        <v>30</v>
      </c>
      <c r="H35" t="s">
        <v>466</v>
      </c>
    </row>
    <row r="36" spans="1:8" x14ac:dyDescent="0.25">
      <c r="A36" s="18">
        <v>46088</v>
      </c>
      <c r="B36" s="4" t="s">
        <v>3</v>
      </c>
      <c r="C36" s="23">
        <v>10</v>
      </c>
      <c r="D36" s="23">
        <v>8</v>
      </c>
      <c r="E36" s="19" t="s">
        <v>10</v>
      </c>
      <c r="F36" s="9" t="s">
        <v>11</v>
      </c>
      <c r="G36" t="s">
        <v>13</v>
      </c>
      <c r="H36" t="s">
        <v>467</v>
      </c>
    </row>
    <row r="37" spans="1:8" x14ac:dyDescent="0.25">
      <c r="A37" s="18">
        <v>46088</v>
      </c>
      <c r="B37" s="4" t="s">
        <v>6</v>
      </c>
      <c r="C37" s="23">
        <v>120</v>
      </c>
      <c r="D37" s="23">
        <v>8</v>
      </c>
      <c r="E37" s="19" t="s">
        <v>4</v>
      </c>
      <c r="F37" s="9" t="s">
        <v>29</v>
      </c>
      <c r="G37" t="s">
        <v>5</v>
      </c>
      <c r="H37" t="s">
        <v>468</v>
      </c>
    </row>
    <row r="38" spans="1:8" x14ac:dyDescent="0.25">
      <c r="A38" s="18">
        <v>46089</v>
      </c>
      <c r="B38" s="4" t="s">
        <v>6</v>
      </c>
      <c r="C38" s="23">
        <v>10</v>
      </c>
      <c r="D38" s="23"/>
      <c r="E38" s="19" t="s">
        <v>10</v>
      </c>
      <c r="F38" s="9" t="s">
        <v>11</v>
      </c>
      <c r="G38" t="s">
        <v>12</v>
      </c>
    </row>
    <row r="39" spans="1:8" x14ac:dyDescent="0.25">
      <c r="A39" s="18">
        <v>46089</v>
      </c>
      <c r="B39" s="4" t="s">
        <v>6</v>
      </c>
      <c r="C39" s="23">
        <v>10</v>
      </c>
      <c r="D39" s="23"/>
      <c r="E39" s="19" t="s">
        <v>10</v>
      </c>
      <c r="F39" s="9" t="s">
        <v>28</v>
      </c>
      <c r="G39" t="s">
        <v>18</v>
      </c>
      <c r="H39" t="s">
        <v>128</v>
      </c>
    </row>
    <row r="40" spans="1:8" x14ac:dyDescent="0.25">
      <c r="A40" s="18">
        <v>46089</v>
      </c>
      <c r="B40" s="4" t="s">
        <v>6</v>
      </c>
      <c r="C40" s="23">
        <v>10</v>
      </c>
      <c r="D40" s="23">
        <v>8</v>
      </c>
      <c r="E40" s="19" t="s">
        <v>10</v>
      </c>
      <c r="F40" s="9" t="s">
        <v>11</v>
      </c>
      <c r="G40" t="s">
        <v>13</v>
      </c>
      <c r="H40" t="s">
        <v>469</v>
      </c>
    </row>
    <row r="41" spans="1:8" x14ac:dyDescent="0.25">
      <c r="A41" s="18">
        <v>46090</v>
      </c>
      <c r="B41" s="4" t="s">
        <v>3</v>
      </c>
      <c r="C41" s="23">
        <v>30</v>
      </c>
      <c r="D41" s="23"/>
      <c r="E41" s="19" t="s">
        <v>10</v>
      </c>
      <c r="F41" s="9" t="s">
        <v>31</v>
      </c>
      <c r="G41" t="s">
        <v>30</v>
      </c>
      <c r="H41" t="s">
        <v>470</v>
      </c>
    </row>
    <row r="42" spans="1:8" x14ac:dyDescent="0.25">
      <c r="A42" s="18">
        <v>46090</v>
      </c>
      <c r="B42" s="4" t="s">
        <v>3</v>
      </c>
      <c r="C42" s="23">
        <v>10</v>
      </c>
      <c r="D42" s="2">
        <v>8</v>
      </c>
      <c r="E42" s="19" t="s">
        <v>10</v>
      </c>
      <c r="F42" s="9" t="s">
        <v>11</v>
      </c>
      <c r="G42" t="s">
        <v>13</v>
      </c>
      <c r="H42" t="s">
        <v>84</v>
      </c>
    </row>
    <row r="43" spans="1:8" x14ac:dyDescent="0.25">
      <c r="A43" s="18">
        <v>46090</v>
      </c>
      <c r="B43" s="4" t="s">
        <v>6</v>
      </c>
      <c r="C43" s="23">
        <v>25</v>
      </c>
      <c r="E43" s="19" t="s">
        <v>10</v>
      </c>
      <c r="F43" s="9" t="s">
        <v>24</v>
      </c>
      <c r="G43" t="s">
        <v>25</v>
      </c>
    </row>
    <row r="44" spans="1:8" x14ac:dyDescent="0.25">
      <c r="A44" s="18">
        <v>46090</v>
      </c>
      <c r="B44" s="4" t="s">
        <v>6</v>
      </c>
      <c r="C44" s="23">
        <v>15</v>
      </c>
      <c r="D44" s="2">
        <v>8</v>
      </c>
      <c r="E44" s="19" t="s">
        <v>10</v>
      </c>
      <c r="F44" s="9" t="s">
        <v>11</v>
      </c>
      <c r="G44" t="s">
        <v>13</v>
      </c>
      <c r="H44" t="s">
        <v>471</v>
      </c>
    </row>
    <row r="45" spans="1:8" x14ac:dyDescent="0.25">
      <c r="A45" s="18">
        <v>46090</v>
      </c>
      <c r="B45" s="4" t="s">
        <v>8</v>
      </c>
      <c r="C45" s="23">
        <v>30</v>
      </c>
      <c r="E45" s="19" t="s">
        <v>10</v>
      </c>
      <c r="F45" s="9" t="s">
        <v>11</v>
      </c>
      <c r="G45" t="s">
        <v>13</v>
      </c>
      <c r="H45" t="s">
        <v>472</v>
      </c>
    </row>
    <row r="46" spans="1:8" x14ac:dyDescent="0.25">
      <c r="A46" s="18">
        <v>46090</v>
      </c>
      <c r="B46" s="4" t="s">
        <v>8</v>
      </c>
      <c r="C46" s="23">
        <v>15</v>
      </c>
      <c r="D46" s="2">
        <v>8</v>
      </c>
      <c r="E46" s="19" t="s">
        <v>10</v>
      </c>
      <c r="F46" s="9" t="s">
        <v>11</v>
      </c>
      <c r="G46" t="s">
        <v>13</v>
      </c>
    </row>
    <row r="47" spans="1:8" x14ac:dyDescent="0.25">
      <c r="A47" s="18">
        <v>46091</v>
      </c>
      <c r="B47" s="4" t="s">
        <v>3</v>
      </c>
      <c r="C47" s="23">
        <v>40</v>
      </c>
      <c r="E47" s="19" t="s">
        <v>4</v>
      </c>
      <c r="F47" s="9" t="s">
        <v>29</v>
      </c>
      <c r="G47" t="s">
        <v>9</v>
      </c>
      <c r="H47" t="s">
        <v>473</v>
      </c>
    </row>
    <row r="48" spans="1:8" x14ac:dyDescent="0.25">
      <c r="A48" s="18">
        <v>46091</v>
      </c>
      <c r="B48" s="4" t="s">
        <v>3</v>
      </c>
      <c r="C48" s="23">
        <v>10</v>
      </c>
      <c r="D48" s="2">
        <v>8</v>
      </c>
      <c r="E48" s="19" t="s">
        <v>10</v>
      </c>
      <c r="F48" s="9" t="s">
        <v>28</v>
      </c>
      <c r="G48" t="s">
        <v>18</v>
      </c>
      <c r="H48" t="s">
        <v>474</v>
      </c>
    </row>
    <row r="49" spans="1:8" x14ac:dyDescent="0.25">
      <c r="A49" s="18">
        <v>46091</v>
      </c>
      <c r="B49" s="4" t="s">
        <v>6</v>
      </c>
      <c r="C49" s="23">
        <v>15</v>
      </c>
      <c r="E49" s="19" t="s">
        <v>10</v>
      </c>
      <c r="F49" s="9" t="s">
        <v>29</v>
      </c>
      <c r="G49" t="s">
        <v>30</v>
      </c>
      <c r="H49" t="s">
        <v>475</v>
      </c>
    </row>
    <row r="50" spans="1:8" x14ac:dyDescent="0.25">
      <c r="A50" s="18">
        <v>46091</v>
      </c>
      <c r="B50" s="4" t="s">
        <v>6</v>
      </c>
      <c r="C50" s="23">
        <v>10</v>
      </c>
      <c r="E50" s="19" t="s">
        <v>10</v>
      </c>
      <c r="F50" s="9" t="s">
        <v>29</v>
      </c>
      <c r="G50" t="s">
        <v>18</v>
      </c>
      <c r="H50" t="s">
        <v>458</v>
      </c>
    </row>
    <row r="51" spans="1:8" x14ac:dyDescent="0.25">
      <c r="A51" s="18">
        <v>46091</v>
      </c>
      <c r="B51" s="4" t="s">
        <v>6</v>
      </c>
      <c r="C51" s="23">
        <v>20</v>
      </c>
      <c r="D51" s="2">
        <v>8</v>
      </c>
      <c r="E51" s="19" t="s">
        <v>10</v>
      </c>
      <c r="F51" s="9" t="s">
        <v>28</v>
      </c>
      <c r="G51" t="s">
        <v>18</v>
      </c>
      <c r="H51" t="s">
        <v>474</v>
      </c>
    </row>
    <row r="52" spans="1:8" x14ac:dyDescent="0.25">
      <c r="A52" s="18">
        <v>46091</v>
      </c>
      <c r="B52" s="4" t="s">
        <v>8</v>
      </c>
      <c r="C52" s="2">
        <f>7*60</f>
        <v>420</v>
      </c>
      <c r="D52" s="2">
        <v>8</v>
      </c>
      <c r="E52" s="19" t="s">
        <v>4</v>
      </c>
      <c r="F52" s="9" t="s">
        <v>21</v>
      </c>
      <c r="G52" t="s">
        <v>5</v>
      </c>
      <c r="H52" t="s">
        <v>476</v>
      </c>
    </row>
    <row r="53" spans="1:8" x14ac:dyDescent="0.25">
      <c r="A53" s="18">
        <v>46092</v>
      </c>
      <c r="B53" s="4" t="s">
        <v>3</v>
      </c>
      <c r="C53" s="23">
        <v>480</v>
      </c>
      <c r="D53" s="2">
        <v>8</v>
      </c>
      <c r="E53" s="19" t="s">
        <v>4</v>
      </c>
      <c r="F53" s="9" t="s">
        <v>21</v>
      </c>
      <c r="G53" t="s">
        <v>5</v>
      </c>
      <c r="H53" t="s">
        <v>476</v>
      </c>
    </row>
    <row r="54" spans="1:8" x14ac:dyDescent="0.25">
      <c r="A54" s="18">
        <v>46092</v>
      </c>
      <c r="B54" s="4" t="s">
        <v>6</v>
      </c>
      <c r="C54" s="23">
        <v>25</v>
      </c>
      <c r="E54" s="9" t="s">
        <v>37</v>
      </c>
      <c r="F54" t="s">
        <v>11</v>
      </c>
      <c r="G54" s="9" t="s">
        <v>38</v>
      </c>
      <c r="H54" t="s">
        <v>477</v>
      </c>
    </row>
    <row r="55" spans="1:8" x14ac:dyDescent="0.25">
      <c r="A55" s="18">
        <v>46092</v>
      </c>
      <c r="B55" s="4" t="s">
        <v>6</v>
      </c>
      <c r="C55" s="23">
        <v>30</v>
      </c>
      <c r="E55" t="s">
        <v>10</v>
      </c>
      <c r="F55" t="s">
        <v>11</v>
      </c>
      <c r="G55" t="s">
        <v>12</v>
      </c>
      <c r="H55" t="s">
        <v>478</v>
      </c>
    </row>
    <row r="56" spans="1:8" x14ac:dyDescent="0.25">
      <c r="A56" s="18">
        <v>46092</v>
      </c>
      <c r="B56" s="4" t="s">
        <v>6</v>
      </c>
      <c r="C56" s="23">
        <v>15</v>
      </c>
      <c r="D56" s="2">
        <v>8</v>
      </c>
      <c r="E56" s="19" t="s">
        <v>10</v>
      </c>
      <c r="F56" s="9" t="s">
        <v>16</v>
      </c>
      <c r="G56" t="s">
        <v>13</v>
      </c>
      <c r="H56" t="s">
        <v>479</v>
      </c>
    </row>
    <row r="57" spans="1:8" x14ac:dyDescent="0.25">
      <c r="A57" s="18">
        <v>46092</v>
      </c>
      <c r="B57" s="4" t="s">
        <v>8</v>
      </c>
      <c r="C57" s="23">
        <v>30</v>
      </c>
      <c r="D57" s="2">
        <v>8</v>
      </c>
      <c r="E57" s="19" t="s">
        <v>10</v>
      </c>
      <c r="F57" s="9" t="s">
        <v>16</v>
      </c>
      <c r="G57" t="s">
        <v>13</v>
      </c>
      <c r="H57" t="s">
        <v>480</v>
      </c>
    </row>
    <row r="58" spans="1:8" x14ac:dyDescent="0.25">
      <c r="A58" s="18">
        <v>46093</v>
      </c>
      <c r="B58" s="4" t="s">
        <v>3</v>
      </c>
      <c r="C58" s="23">
        <v>15</v>
      </c>
      <c r="E58" s="19" t="s">
        <v>10</v>
      </c>
      <c r="F58" s="9" t="s">
        <v>16</v>
      </c>
      <c r="G58" t="s">
        <v>13</v>
      </c>
      <c r="H58" t="s">
        <v>481</v>
      </c>
    </row>
    <row r="59" spans="1:8" x14ac:dyDescent="0.25">
      <c r="A59" s="18">
        <v>46093</v>
      </c>
      <c r="B59" s="4" t="s">
        <v>3</v>
      </c>
      <c r="C59" s="23">
        <v>10</v>
      </c>
      <c r="E59" s="19" t="s">
        <v>10</v>
      </c>
      <c r="F59" s="9" t="s">
        <v>16</v>
      </c>
      <c r="G59" t="s">
        <v>13</v>
      </c>
      <c r="H59" t="s">
        <v>482</v>
      </c>
    </row>
    <row r="60" spans="1:8" x14ac:dyDescent="0.25">
      <c r="A60" s="18">
        <v>46093</v>
      </c>
      <c r="B60" s="4" t="s">
        <v>3</v>
      </c>
      <c r="C60" s="23">
        <v>15</v>
      </c>
      <c r="D60" s="2">
        <v>8</v>
      </c>
      <c r="E60" s="19" t="s">
        <v>10</v>
      </c>
      <c r="F60" s="9" t="s">
        <v>28</v>
      </c>
      <c r="G60" t="s">
        <v>18</v>
      </c>
      <c r="H60" t="s">
        <v>483</v>
      </c>
    </row>
    <row r="61" spans="1:8" x14ac:dyDescent="0.25">
      <c r="A61" s="18">
        <v>46093</v>
      </c>
      <c r="B61" s="4" t="s">
        <v>6</v>
      </c>
      <c r="C61" s="23">
        <v>15</v>
      </c>
      <c r="E61" s="19" t="s">
        <v>10</v>
      </c>
      <c r="F61" s="9" t="s">
        <v>16</v>
      </c>
      <c r="G61" t="s">
        <v>13</v>
      </c>
      <c r="H61" t="s">
        <v>484</v>
      </c>
    </row>
    <row r="62" spans="1:8" x14ac:dyDescent="0.25">
      <c r="A62" s="18">
        <v>46093</v>
      </c>
      <c r="B62" s="4" t="s">
        <v>6</v>
      </c>
      <c r="C62" s="23">
        <v>10</v>
      </c>
      <c r="E62" s="19" t="s">
        <v>10</v>
      </c>
      <c r="F62" s="9" t="s">
        <v>11</v>
      </c>
      <c r="G62" t="s">
        <v>13</v>
      </c>
      <c r="H62" t="s">
        <v>471</v>
      </c>
    </row>
    <row r="63" spans="1:8" x14ac:dyDescent="0.25">
      <c r="A63" s="18">
        <v>46093</v>
      </c>
      <c r="B63" s="4" t="s">
        <v>6</v>
      </c>
      <c r="C63" s="23">
        <v>10</v>
      </c>
      <c r="D63" s="2">
        <v>8</v>
      </c>
      <c r="E63" s="19" t="s">
        <v>10</v>
      </c>
      <c r="F63" s="9" t="s">
        <v>11</v>
      </c>
      <c r="G63" t="s">
        <v>13</v>
      </c>
      <c r="H63" t="s">
        <v>485</v>
      </c>
    </row>
    <row r="64" spans="1:8" x14ac:dyDescent="0.25">
      <c r="A64" s="18">
        <v>46093</v>
      </c>
      <c r="B64" s="4" t="s">
        <v>8</v>
      </c>
      <c r="C64" s="23">
        <v>10</v>
      </c>
      <c r="E64" s="19" t="s">
        <v>10</v>
      </c>
      <c r="F64" s="9" t="s">
        <v>11</v>
      </c>
      <c r="G64" t="s">
        <v>13</v>
      </c>
      <c r="H64" t="s">
        <v>485</v>
      </c>
    </row>
    <row r="65" spans="1:8" x14ac:dyDescent="0.25">
      <c r="A65" s="18">
        <v>46093</v>
      </c>
      <c r="B65" s="4" t="s">
        <v>8</v>
      </c>
      <c r="C65" s="23">
        <v>15</v>
      </c>
      <c r="D65" s="2">
        <v>8</v>
      </c>
      <c r="E65" t="s">
        <v>37</v>
      </c>
      <c r="F65" t="s">
        <v>11</v>
      </c>
      <c r="G65" s="9" t="s">
        <v>39</v>
      </c>
    </row>
    <row r="66" spans="1:8" x14ac:dyDescent="0.25">
      <c r="A66" s="18">
        <v>46094</v>
      </c>
      <c r="B66" s="4" t="s">
        <v>3</v>
      </c>
      <c r="C66" s="23">
        <v>450</v>
      </c>
      <c r="D66" s="2">
        <v>8</v>
      </c>
      <c r="E66" t="s">
        <v>37</v>
      </c>
      <c r="F66" t="s">
        <v>11</v>
      </c>
      <c r="G66" s="9" t="s">
        <v>39</v>
      </c>
    </row>
    <row r="67" spans="1:8" x14ac:dyDescent="0.25">
      <c r="A67" s="18">
        <v>46094</v>
      </c>
      <c r="B67" s="4" t="s">
        <v>6</v>
      </c>
      <c r="C67" s="23">
        <v>100</v>
      </c>
      <c r="E67" s="19" t="s">
        <v>4</v>
      </c>
      <c r="F67" s="9" t="s">
        <v>29</v>
      </c>
      <c r="G67" t="s">
        <v>9</v>
      </c>
      <c r="H67" t="s">
        <v>486</v>
      </c>
    </row>
    <row r="68" spans="1:8" x14ac:dyDescent="0.25">
      <c r="A68" s="18">
        <v>46094</v>
      </c>
      <c r="B68" s="4" t="s">
        <v>6</v>
      </c>
      <c r="C68" s="23">
        <v>10</v>
      </c>
      <c r="D68" s="2">
        <v>8</v>
      </c>
      <c r="E68" s="19" t="s">
        <v>10</v>
      </c>
      <c r="F68" s="9" t="s">
        <v>11</v>
      </c>
      <c r="G68" t="s">
        <v>13</v>
      </c>
      <c r="H68" t="s">
        <v>487</v>
      </c>
    </row>
    <row r="69" spans="1:8" x14ac:dyDescent="0.25">
      <c r="A69" s="18">
        <v>46094</v>
      </c>
      <c r="B69" s="4" t="s">
        <v>8</v>
      </c>
      <c r="C69" s="23">
        <v>25</v>
      </c>
      <c r="D69" s="2">
        <v>8</v>
      </c>
      <c r="E69" s="19" t="s">
        <v>10</v>
      </c>
      <c r="F69" s="9" t="s">
        <v>11</v>
      </c>
      <c r="G69" t="s">
        <v>13</v>
      </c>
    </row>
    <row r="70" spans="1:8" x14ac:dyDescent="0.25">
      <c r="A70" s="18">
        <v>46095</v>
      </c>
      <c r="B70" s="4" t="s">
        <v>6</v>
      </c>
      <c r="C70" s="23">
        <v>30</v>
      </c>
      <c r="E70" s="19" t="s">
        <v>10</v>
      </c>
      <c r="F70" s="9" t="s">
        <v>16</v>
      </c>
      <c r="G70" t="s">
        <v>13</v>
      </c>
      <c r="H70" t="s">
        <v>488</v>
      </c>
    </row>
    <row r="71" spans="1:8" x14ac:dyDescent="0.25">
      <c r="A71" s="18">
        <v>46095</v>
      </c>
      <c r="B71" s="4" t="s">
        <v>6</v>
      </c>
      <c r="C71" s="23">
        <v>15</v>
      </c>
      <c r="E71" s="19" t="s">
        <v>4</v>
      </c>
      <c r="F71" s="9" t="s">
        <v>29</v>
      </c>
      <c r="G71" t="s">
        <v>9</v>
      </c>
      <c r="H71" t="s">
        <v>489</v>
      </c>
    </row>
    <row r="72" spans="1:8" x14ac:dyDescent="0.25">
      <c r="A72" s="18">
        <v>46095</v>
      </c>
      <c r="B72" s="4" t="s">
        <v>6</v>
      </c>
      <c r="C72" s="23">
        <v>10</v>
      </c>
      <c r="E72" s="19" t="s">
        <v>4</v>
      </c>
      <c r="F72" s="9" t="s">
        <v>31</v>
      </c>
      <c r="G72" t="s">
        <v>9</v>
      </c>
      <c r="H72" t="s">
        <v>490</v>
      </c>
    </row>
    <row r="73" spans="1:8" x14ac:dyDescent="0.25">
      <c r="A73" s="18">
        <v>46095</v>
      </c>
      <c r="B73" s="4" t="s">
        <v>6</v>
      </c>
      <c r="C73" s="23">
        <v>30</v>
      </c>
      <c r="E73" s="19" t="s">
        <v>10</v>
      </c>
      <c r="F73" s="9" t="s">
        <v>21</v>
      </c>
      <c r="G73" t="s">
        <v>18</v>
      </c>
      <c r="H73" t="s">
        <v>491</v>
      </c>
    </row>
    <row r="74" spans="1:8" x14ac:dyDescent="0.25">
      <c r="A74" s="18">
        <v>46095</v>
      </c>
      <c r="B74" s="4" t="s">
        <v>6</v>
      </c>
      <c r="C74" s="23">
        <v>25</v>
      </c>
      <c r="D74" s="2">
        <v>8</v>
      </c>
      <c r="E74" s="19" t="s">
        <v>10</v>
      </c>
      <c r="F74" s="9" t="s">
        <v>11</v>
      </c>
      <c r="G74" t="s">
        <v>13</v>
      </c>
    </row>
    <row r="75" spans="1:8" x14ac:dyDescent="0.25">
      <c r="A75" s="18">
        <v>46095</v>
      </c>
      <c r="B75" s="4" t="s">
        <v>3</v>
      </c>
      <c r="C75" s="23">
        <v>10</v>
      </c>
      <c r="E75" s="19" t="s">
        <v>10</v>
      </c>
      <c r="F75" s="9" t="s">
        <v>16</v>
      </c>
      <c r="G75" t="s">
        <v>13</v>
      </c>
      <c r="H75" t="s">
        <v>492</v>
      </c>
    </row>
    <row r="76" spans="1:8" x14ac:dyDescent="0.25">
      <c r="A76" s="18">
        <v>46095</v>
      </c>
      <c r="B76" s="4" t="s">
        <v>3</v>
      </c>
      <c r="C76" s="23">
        <v>5</v>
      </c>
      <c r="D76" s="2">
        <v>8</v>
      </c>
      <c r="E76" s="19" t="s">
        <v>10</v>
      </c>
      <c r="F76" s="9" t="s">
        <v>11</v>
      </c>
      <c r="G76" t="s">
        <v>13</v>
      </c>
      <c r="H76" t="s">
        <v>84</v>
      </c>
    </row>
    <row r="77" spans="1:8" x14ac:dyDescent="0.25">
      <c r="A77" s="18">
        <v>46095</v>
      </c>
      <c r="B77" s="4" t="s">
        <v>8</v>
      </c>
      <c r="C77" s="23">
        <v>25</v>
      </c>
      <c r="D77" s="2">
        <v>8</v>
      </c>
      <c r="E77" s="19" t="s">
        <v>10</v>
      </c>
      <c r="F77" s="9" t="s">
        <v>16</v>
      </c>
      <c r="G77" t="s">
        <v>13</v>
      </c>
      <c r="H77" t="s">
        <v>493</v>
      </c>
    </row>
    <row r="78" spans="1:8" x14ac:dyDescent="0.25">
      <c r="A78" s="18">
        <v>46097</v>
      </c>
      <c r="B78" s="4" t="s">
        <v>6</v>
      </c>
      <c r="C78" s="23">
        <v>60</v>
      </c>
      <c r="D78" s="2">
        <v>8</v>
      </c>
      <c r="E78" s="19" t="s">
        <v>4</v>
      </c>
      <c r="F78" s="9" t="s">
        <v>29</v>
      </c>
      <c r="G78" t="s">
        <v>5</v>
      </c>
      <c r="H78" t="s">
        <v>494</v>
      </c>
    </row>
    <row r="79" spans="1:8" x14ac:dyDescent="0.25">
      <c r="A79" s="18">
        <v>46097</v>
      </c>
      <c r="B79" s="4" t="s">
        <v>8</v>
      </c>
      <c r="C79" s="23">
        <v>15</v>
      </c>
      <c r="D79" s="2">
        <v>8</v>
      </c>
      <c r="E79" s="19" t="s">
        <v>10</v>
      </c>
      <c r="F79" s="9" t="s">
        <v>11</v>
      </c>
      <c r="G79" t="s">
        <v>13</v>
      </c>
    </row>
    <row r="80" spans="1:8" x14ac:dyDescent="0.25">
      <c r="A80" s="18">
        <v>46097</v>
      </c>
      <c r="B80" s="4" t="s">
        <v>3</v>
      </c>
      <c r="C80" s="23">
        <v>10</v>
      </c>
      <c r="D80" s="2">
        <v>8</v>
      </c>
      <c r="E80" s="19" t="s">
        <v>10</v>
      </c>
      <c r="F80" s="9" t="s">
        <v>16</v>
      </c>
      <c r="G80" t="s">
        <v>13</v>
      </c>
      <c r="H80" t="s">
        <v>495</v>
      </c>
    </row>
    <row r="81" spans="1:8" x14ac:dyDescent="0.25">
      <c r="A81" s="18">
        <v>46098</v>
      </c>
      <c r="B81" s="4" t="s">
        <v>6</v>
      </c>
      <c r="C81" s="23">
        <v>85</v>
      </c>
      <c r="D81" s="2">
        <v>8</v>
      </c>
      <c r="E81" t="s">
        <v>33</v>
      </c>
      <c r="F81" t="s">
        <v>11</v>
      </c>
      <c r="G81" t="s">
        <v>34</v>
      </c>
      <c r="H81" t="s">
        <v>496</v>
      </c>
    </row>
    <row r="82" spans="1:8" x14ac:dyDescent="0.25">
      <c r="A82" s="18">
        <v>46098</v>
      </c>
      <c r="B82" s="4" t="s">
        <v>8</v>
      </c>
      <c r="C82" s="23">
        <v>60</v>
      </c>
      <c r="D82" s="2">
        <v>8</v>
      </c>
      <c r="E82" s="19" t="s">
        <v>10</v>
      </c>
      <c r="F82" s="9" t="s">
        <v>16</v>
      </c>
      <c r="G82" t="s">
        <v>13</v>
      </c>
      <c r="H82" t="s">
        <v>497</v>
      </c>
    </row>
    <row r="83" spans="1:8" x14ac:dyDescent="0.25">
      <c r="A83" s="18">
        <v>46098</v>
      </c>
      <c r="B83" s="4" t="s">
        <v>3</v>
      </c>
      <c r="C83" s="23">
        <v>50</v>
      </c>
      <c r="D83" s="2">
        <v>8</v>
      </c>
      <c r="E83" s="19" t="s">
        <v>4</v>
      </c>
      <c r="F83" s="9" t="s">
        <v>29</v>
      </c>
      <c r="G83" t="s">
        <v>7</v>
      </c>
      <c r="H83" t="s">
        <v>498</v>
      </c>
    </row>
    <row r="84" spans="1:8" x14ac:dyDescent="0.25">
      <c r="A84" s="18">
        <v>46099</v>
      </c>
      <c r="B84" s="4" t="s">
        <v>6</v>
      </c>
      <c r="C84" s="23">
        <v>35</v>
      </c>
      <c r="D84" s="2">
        <v>8</v>
      </c>
      <c r="E84" s="19" t="s">
        <v>4</v>
      </c>
      <c r="F84" s="9" t="s">
        <v>29</v>
      </c>
      <c r="G84" t="s">
        <v>7</v>
      </c>
      <c r="H84" t="s">
        <v>499</v>
      </c>
    </row>
    <row r="85" spans="1:8" x14ac:dyDescent="0.25">
      <c r="A85" s="18">
        <v>46099</v>
      </c>
      <c r="B85" s="4" t="s">
        <v>8</v>
      </c>
      <c r="C85" s="23">
        <v>15</v>
      </c>
      <c r="D85" s="2">
        <v>8</v>
      </c>
      <c r="E85" s="19" t="s">
        <v>10</v>
      </c>
      <c r="F85" s="9" t="s">
        <v>11</v>
      </c>
      <c r="G85" t="s">
        <v>13</v>
      </c>
    </row>
    <row r="86" spans="1:8" x14ac:dyDescent="0.25">
      <c r="A86" s="18">
        <v>46099</v>
      </c>
      <c r="B86" s="4" t="s">
        <v>3</v>
      </c>
      <c r="C86" s="23">
        <v>0</v>
      </c>
      <c r="D86" s="2">
        <v>8</v>
      </c>
    </row>
    <row r="87" spans="1:8" x14ac:dyDescent="0.25">
      <c r="A87" s="18">
        <v>46100</v>
      </c>
      <c r="B87" s="4" t="s">
        <v>6</v>
      </c>
      <c r="C87" s="23">
        <v>15</v>
      </c>
      <c r="E87" s="19" t="s">
        <v>10</v>
      </c>
      <c r="F87" s="9" t="s">
        <v>11</v>
      </c>
      <c r="G87" t="s">
        <v>13</v>
      </c>
    </row>
    <row r="88" spans="1:8" x14ac:dyDescent="0.25">
      <c r="A88" s="18">
        <v>46100</v>
      </c>
      <c r="B88" s="4" t="s">
        <v>6</v>
      </c>
      <c r="C88" s="23">
        <v>15</v>
      </c>
      <c r="E88" s="19" t="s">
        <v>4</v>
      </c>
      <c r="F88" s="9" t="s">
        <v>11</v>
      </c>
      <c r="G88" s="7" t="s">
        <v>7</v>
      </c>
      <c r="H88" t="s">
        <v>500</v>
      </c>
    </row>
    <row r="89" spans="1:8" x14ac:dyDescent="0.25">
      <c r="A89" s="18">
        <v>46100</v>
      </c>
      <c r="B89" s="4" t="s">
        <v>6</v>
      </c>
      <c r="C89" s="23">
        <v>5</v>
      </c>
      <c r="D89" s="2">
        <v>8</v>
      </c>
      <c r="E89" s="19" t="s">
        <v>10</v>
      </c>
      <c r="F89" s="9" t="s">
        <v>11</v>
      </c>
      <c r="G89" t="s">
        <v>13</v>
      </c>
    </row>
    <row r="90" spans="1:8" x14ac:dyDescent="0.25">
      <c r="A90" s="18">
        <v>46100</v>
      </c>
      <c r="B90" s="4" t="s">
        <v>8</v>
      </c>
      <c r="C90" s="23">
        <v>15</v>
      </c>
      <c r="D90" s="2">
        <v>8</v>
      </c>
      <c r="E90" s="19" t="s">
        <v>10</v>
      </c>
      <c r="F90" s="9" t="s">
        <v>11</v>
      </c>
      <c r="G90" t="s">
        <v>13</v>
      </c>
    </row>
    <row r="91" spans="1:8" x14ac:dyDescent="0.25">
      <c r="A91" s="18">
        <v>46100</v>
      </c>
      <c r="B91" s="4" t="s">
        <v>3</v>
      </c>
      <c r="C91" s="23">
        <v>30</v>
      </c>
      <c r="E91" t="s">
        <v>10</v>
      </c>
      <c r="F91" t="s">
        <v>21</v>
      </c>
      <c r="G91" t="s">
        <v>22</v>
      </c>
    </row>
    <row r="92" spans="1:8" x14ac:dyDescent="0.25">
      <c r="A92" s="18">
        <v>46100</v>
      </c>
      <c r="B92" s="4" t="s">
        <v>3</v>
      </c>
      <c r="C92" s="23">
        <v>15</v>
      </c>
      <c r="D92" s="2">
        <v>8</v>
      </c>
      <c r="E92" s="19" t="s">
        <v>10</v>
      </c>
      <c r="F92" s="9" t="s">
        <v>16</v>
      </c>
      <c r="G92" t="s">
        <v>13</v>
      </c>
      <c r="H92" t="s">
        <v>501</v>
      </c>
    </row>
    <row r="93" spans="1:8" x14ac:dyDescent="0.25">
      <c r="A93" s="18">
        <v>46101</v>
      </c>
      <c r="B93" s="4" t="s">
        <v>6</v>
      </c>
      <c r="C93" s="23">
        <v>25</v>
      </c>
      <c r="E93" s="19" t="s">
        <v>4</v>
      </c>
      <c r="F93" s="9" t="s">
        <v>29</v>
      </c>
      <c r="G93" t="s">
        <v>5</v>
      </c>
      <c r="H93" t="s">
        <v>502</v>
      </c>
    </row>
    <row r="94" spans="1:8" x14ac:dyDescent="0.25">
      <c r="A94" s="18">
        <v>46101</v>
      </c>
      <c r="B94" s="4" t="s">
        <v>6</v>
      </c>
      <c r="C94" s="23">
        <v>15</v>
      </c>
      <c r="E94" s="19" t="s">
        <v>10</v>
      </c>
      <c r="F94" s="9" t="s">
        <v>16</v>
      </c>
      <c r="G94" t="s">
        <v>13</v>
      </c>
      <c r="H94" t="s">
        <v>503</v>
      </c>
    </row>
    <row r="95" spans="1:8" x14ac:dyDescent="0.25">
      <c r="A95" s="18">
        <v>46101</v>
      </c>
      <c r="B95" s="4" t="s">
        <v>6</v>
      </c>
      <c r="C95" s="23">
        <v>65</v>
      </c>
      <c r="D95" s="2">
        <v>8</v>
      </c>
      <c r="E95" s="19" t="s">
        <v>10</v>
      </c>
      <c r="F95" s="9" t="s">
        <v>24</v>
      </c>
      <c r="G95" t="s">
        <v>18</v>
      </c>
      <c r="H95" t="s">
        <v>504</v>
      </c>
    </row>
    <row r="96" spans="1:8" x14ac:dyDescent="0.25">
      <c r="A96" s="18">
        <v>46101</v>
      </c>
      <c r="B96" s="4" t="s">
        <v>8</v>
      </c>
      <c r="C96" s="23">
        <v>25</v>
      </c>
      <c r="E96" s="19" t="s">
        <v>10</v>
      </c>
      <c r="F96" s="9" t="s">
        <v>24</v>
      </c>
      <c r="G96" t="s">
        <v>18</v>
      </c>
      <c r="H96" t="s">
        <v>505</v>
      </c>
    </row>
    <row r="97" spans="1:8" x14ac:dyDescent="0.25">
      <c r="A97" s="18">
        <v>46101</v>
      </c>
      <c r="B97" s="4" t="s">
        <v>8</v>
      </c>
      <c r="C97" s="23">
        <v>10</v>
      </c>
      <c r="E97" s="19" t="s">
        <v>10</v>
      </c>
      <c r="F97" s="9" t="s">
        <v>11</v>
      </c>
      <c r="G97" t="s">
        <v>13</v>
      </c>
    </row>
    <row r="98" spans="1:8" x14ac:dyDescent="0.25">
      <c r="A98" s="18">
        <v>46101</v>
      </c>
      <c r="B98" s="4" t="s">
        <v>8</v>
      </c>
      <c r="C98" s="23">
        <v>25</v>
      </c>
      <c r="D98" s="2">
        <v>8</v>
      </c>
      <c r="E98" s="19" t="s">
        <v>10</v>
      </c>
      <c r="F98" s="9" t="s">
        <v>21</v>
      </c>
      <c r="G98" t="s">
        <v>22</v>
      </c>
    </row>
    <row r="99" spans="1:8" x14ac:dyDescent="0.25">
      <c r="A99" s="18">
        <v>46101</v>
      </c>
      <c r="B99" s="4" t="s">
        <v>3</v>
      </c>
      <c r="C99" s="23">
        <v>15</v>
      </c>
      <c r="D99" s="2">
        <v>8</v>
      </c>
      <c r="E99" s="19" t="s">
        <v>10</v>
      </c>
      <c r="F99" s="9" t="s">
        <v>11</v>
      </c>
      <c r="G99" t="s">
        <v>13</v>
      </c>
      <c r="H99" t="s">
        <v>506</v>
      </c>
    </row>
    <row r="100" spans="1:8" x14ac:dyDescent="0.25">
      <c r="A100" s="18">
        <v>46102</v>
      </c>
      <c r="B100" s="4" t="s">
        <v>6</v>
      </c>
      <c r="C100" s="23">
        <v>10</v>
      </c>
      <c r="E100" s="19" t="s">
        <v>10</v>
      </c>
      <c r="F100" s="9" t="s">
        <v>11</v>
      </c>
      <c r="G100" t="s">
        <v>13</v>
      </c>
    </row>
    <row r="101" spans="1:8" x14ac:dyDescent="0.25">
      <c r="A101" s="18">
        <v>46102</v>
      </c>
      <c r="B101" s="4" t="s">
        <v>6</v>
      </c>
      <c r="C101" s="23">
        <v>45</v>
      </c>
      <c r="D101" s="2">
        <v>8</v>
      </c>
      <c r="E101" s="19" t="s">
        <v>10</v>
      </c>
      <c r="F101" s="9" t="s">
        <v>21</v>
      </c>
      <c r="G101" t="s">
        <v>22</v>
      </c>
      <c r="H101" t="s">
        <v>507</v>
      </c>
    </row>
    <row r="102" spans="1:8" x14ac:dyDescent="0.25">
      <c r="A102" s="18">
        <v>46102</v>
      </c>
      <c r="B102" s="4" t="s">
        <v>8</v>
      </c>
      <c r="C102" s="23">
        <v>0</v>
      </c>
      <c r="D102" s="2">
        <v>8</v>
      </c>
    </row>
    <row r="103" spans="1:8" x14ac:dyDescent="0.25">
      <c r="A103" s="18">
        <v>46102</v>
      </c>
      <c r="B103" s="4" t="s">
        <v>3</v>
      </c>
      <c r="C103" s="23">
        <v>25</v>
      </c>
      <c r="E103" s="19" t="s">
        <v>10</v>
      </c>
      <c r="F103" s="9" t="s">
        <v>11</v>
      </c>
      <c r="G103" t="s">
        <v>13</v>
      </c>
    </row>
    <row r="104" spans="1:8" x14ac:dyDescent="0.25">
      <c r="A104" s="18">
        <v>46102</v>
      </c>
      <c r="B104" s="4" t="s">
        <v>3</v>
      </c>
      <c r="C104" s="23">
        <v>15</v>
      </c>
      <c r="D104" s="2">
        <v>8</v>
      </c>
      <c r="E104" s="19" t="s">
        <v>10</v>
      </c>
      <c r="F104" s="9" t="s">
        <v>29</v>
      </c>
      <c r="G104" t="s">
        <v>18</v>
      </c>
      <c r="H104" t="s">
        <v>508</v>
      </c>
    </row>
    <row r="105" spans="1:8" x14ac:dyDescent="0.25">
      <c r="A105" s="18">
        <v>46103</v>
      </c>
      <c r="B105" s="4" t="s">
        <v>8</v>
      </c>
      <c r="C105" s="23">
        <v>25</v>
      </c>
      <c r="D105" s="2">
        <v>8</v>
      </c>
      <c r="E105" s="19" t="s">
        <v>10</v>
      </c>
      <c r="F105" s="9" t="s">
        <v>11</v>
      </c>
      <c r="G105" t="s">
        <v>13</v>
      </c>
    </row>
    <row r="106" spans="1:8" x14ac:dyDescent="0.25">
      <c r="A106" s="18">
        <v>46104</v>
      </c>
      <c r="B106" s="4" t="s">
        <v>8</v>
      </c>
      <c r="C106" s="23">
        <f>120+40</f>
        <v>160</v>
      </c>
      <c r="E106" s="19" t="s">
        <v>4</v>
      </c>
      <c r="F106" s="9" t="s">
        <v>31</v>
      </c>
      <c r="G106" t="s">
        <v>5</v>
      </c>
      <c r="H106" t="s">
        <v>509</v>
      </c>
    </row>
    <row r="107" spans="1:8" x14ac:dyDescent="0.25">
      <c r="A107" s="18">
        <v>46104</v>
      </c>
      <c r="B107" s="4" t="s">
        <v>8</v>
      </c>
      <c r="C107" s="23">
        <v>10</v>
      </c>
      <c r="D107" s="2">
        <v>8</v>
      </c>
      <c r="E107" s="19" t="s">
        <v>10</v>
      </c>
      <c r="F107" s="9" t="s">
        <v>11</v>
      </c>
      <c r="G107" t="s">
        <v>13</v>
      </c>
    </row>
    <row r="108" spans="1:8" x14ac:dyDescent="0.25">
      <c r="A108" s="18">
        <v>46104</v>
      </c>
      <c r="B108" s="4" t="s">
        <v>3</v>
      </c>
      <c r="C108" s="23">
        <v>15</v>
      </c>
      <c r="E108" s="19" t="s">
        <v>10</v>
      </c>
      <c r="F108" s="9" t="s">
        <v>21</v>
      </c>
      <c r="G108" t="s">
        <v>18</v>
      </c>
      <c r="H108" t="s">
        <v>510</v>
      </c>
    </row>
    <row r="109" spans="1:8" x14ac:dyDescent="0.25">
      <c r="A109" s="18">
        <v>46104</v>
      </c>
      <c r="B109" s="4" t="s">
        <v>3</v>
      </c>
      <c r="C109" s="23">
        <v>30</v>
      </c>
      <c r="D109" s="2">
        <v>8</v>
      </c>
      <c r="E109" s="19" t="s">
        <v>4</v>
      </c>
      <c r="F109" s="9" t="s">
        <v>29</v>
      </c>
      <c r="G109" t="s">
        <v>5</v>
      </c>
      <c r="H109" t="s">
        <v>511</v>
      </c>
    </row>
    <row r="110" spans="1:8" x14ac:dyDescent="0.25">
      <c r="A110" s="18">
        <v>46104</v>
      </c>
      <c r="B110" s="4" t="s">
        <v>6</v>
      </c>
      <c r="C110" s="23">
        <v>15</v>
      </c>
      <c r="D110" s="2">
        <v>8</v>
      </c>
      <c r="E110" s="19" t="s">
        <v>10</v>
      </c>
      <c r="F110" s="9" t="s">
        <v>11</v>
      </c>
      <c r="G110" s="7" t="s">
        <v>15</v>
      </c>
    </row>
    <row r="111" spans="1:8" x14ac:dyDescent="0.25">
      <c r="A111" s="18">
        <v>46106</v>
      </c>
      <c r="B111" s="4" t="s">
        <v>8</v>
      </c>
      <c r="C111" s="23">
        <f>4*60+15</f>
        <v>255</v>
      </c>
      <c r="E111" s="19" t="s">
        <v>35</v>
      </c>
      <c r="F111" t="s">
        <v>11</v>
      </c>
      <c r="G111" s="9" t="s">
        <v>36</v>
      </c>
      <c r="H111" t="s">
        <v>512</v>
      </c>
    </row>
    <row r="112" spans="1:8" x14ac:dyDescent="0.25">
      <c r="A112" s="18">
        <v>46106</v>
      </c>
      <c r="B112" s="4" t="s">
        <v>8</v>
      </c>
      <c r="C112" s="23">
        <v>40</v>
      </c>
      <c r="D112" s="2">
        <v>8</v>
      </c>
      <c r="E112" s="19" t="s">
        <v>4</v>
      </c>
      <c r="F112" s="9" t="s">
        <v>31</v>
      </c>
      <c r="G112" t="s">
        <v>5</v>
      </c>
      <c r="H112" t="s">
        <v>513</v>
      </c>
    </row>
    <row r="113" spans="1:8" x14ac:dyDescent="0.25">
      <c r="A113" s="18">
        <v>46106</v>
      </c>
      <c r="B113" s="4" t="s">
        <v>3</v>
      </c>
      <c r="C113" s="23">
        <v>10</v>
      </c>
      <c r="E113" s="19" t="s">
        <v>10</v>
      </c>
      <c r="F113" s="9" t="s">
        <v>11</v>
      </c>
      <c r="G113" t="s">
        <v>13</v>
      </c>
    </row>
    <row r="114" spans="1:8" x14ac:dyDescent="0.25">
      <c r="A114" s="18">
        <v>46106</v>
      </c>
      <c r="B114" s="4" t="s">
        <v>3</v>
      </c>
      <c r="C114" s="23">
        <v>10</v>
      </c>
      <c r="D114" s="2">
        <v>8</v>
      </c>
      <c r="E114" s="19" t="s">
        <v>10</v>
      </c>
      <c r="F114" s="9" t="s">
        <v>31</v>
      </c>
      <c r="G114" t="s">
        <v>18</v>
      </c>
      <c r="H114" t="s">
        <v>514</v>
      </c>
    </row>
    <row r="115" spans="1:8" x14ac:dyDescent="0.25">
      <c r="A115" s="18">
        <v>46106</v>
      </c>
      <c r="B115" s="4" t="s">
        <v>6</v>
      </c>
      <c r="C115" s="23">
        <v>25</v>
      </c>
      <c r="D115" s="2">
        <v>8</v>
      </c>
      <c r="E115" s="19" t="s">
        <v>4</v>
      </c>
      <c r="F115" s="9" t="s">
        <v>29</v>
      </c>
      <c r="G115" t="s">
        <v>7</v>
      </c>
      <c r="H115" t="s">
        <v>515</v>
      </c>
    </row>
    <row r="116" spans="1:8" x14ac:dyDescent="0.25">
      <c r="A116" s="18">
        <v>46107</v>
      </c>
      <c r="B116" s="4" t="s">
        <v>8</v>
      </c>
      <c r="C116" s="23">
        <v>15</v>
      </c>
      <c r="D116" s="2">
        <v>8</v>
      </c>
      <c r="E116" s="19" t="s">
        <v>10</v>
      </c>
      <c r="F116" s="9" t="s">
        <v>11</v>
      </c>
      <c r="G116" t="s">
        <v>13</v>
      </c>
    </row>
    <row r="117" spans="1:8" x14ac:dyDescent="0.25">
      <c r="A117" s="18">
        <v>46107</v>
      </c>
      <c r="B117" s="4" t="s">
        <v>3</v>
      </c>
      <c r="C117" s="23">
        <v>90</v>
      </c>
      <c r="D117" s="2">
        <v>8</v>
      </c>
      <c r="E117" s="19" t="s">
        <v>4</v>
      </c>
      <c r="F117" s="9" t="s">
        <v>21</v>
      </c>
      <c r="G117" t="s">
        <v>7</v>
      </c>
      <c r="H117" t="s">
        <v>516</v>
      </c>
    </row>
    <row r="118" spans="1:8" x14ac:dyDescent="0.25">
      <c r="A118" s="18">
        <v>46107</v>
      </c>
      <c r="B118" s="4" t="s">
        <v>6</v>
      </c>
      <c r="C118" s="23">
        <v>15</v>
      </c>
      <c r="D118" s="2">
        <v>8</v>
      </c>
      <c r="E118" s="19" t="s">
        <v>10</v>
      </c>
      <c r="F118" s="9" t="s">
        <v>29</v>
      </c>
      <c r="G118" t="s">
        <v>18</v>
      </c>
      <c r="H118" t="s">
        <v>517</v>
      </c>
    </row>
    <row r="119" spans="1:8" x14ac:dyDescent="0.25">
      <c r="A119" s="18">
        <v>46108</v>
      </c>
      <c r="B119" s="4" t="s">
        <v>8</v>
      </c>
      <c r="C119" s="23">
        <v>20</v>
      </c>
      <c r="E119" t="s">
        <v>37</v>
      </c>
      <c r="F119" t="s">
        <v>11</v>
      </c>
      <c r="G119" s="9" t="s">
        <v>38</v>
      </c>
      <c r="H119" t="s">
        <v>404</v>
      </c>
    </row>
    <row r="120" spans="1:8" x14ac:dyDescent="0.25">
      <c r="A120" s="18">
        <v>46108</v>
      </c>
      <c r="B120" s="4" t="s">
        <v>8</v>
      </c>
      <c r="C120" s="23">
        <v>10</v>
      </c>
      <c r="D120" s="2">
        <v>8</v>
      </c>
      <c r="E120" s="19" t="s">
        <v>10</v>
      </c>
      <c r="F120" s="9" t="s">
        <v>24</v>
      </c>
      <c r="G120" t="s">
        <v>25</v>
      </c>
    </row>
    <row r="121" spans="1:8" x14ac:dyDescent="0.25">
      <c r="A121" s="18">
        <v>46108</v>
      </c>
      <c r="B121" s="4" t="s">
        <v>3</v>
      </c>
      <c r="C121" s="23">
        <v>50</v>
      </c>
      <c r="D121" s="2">
        <v>8</v>
      </c>
      <c r="E121" s="19" t="s">
        <v>35</v>
      </c>
      <c r="F121" t="s">
        <v>11</v>
      </c>
      <c r="G121" s="9" t="s">
        <v>36</v>
      </c>
      <c r="H121" t="s">
        <v>518</v>
      </c>
    </row>
    <row r="122" spans="1:8" x14ac:dyDescent="0.25">
      <c r="A122" s="18">
        <v>46108</v>
      </c>
      <c r="B122" s="4" t="s">
        <v>6</v>
      </c>
      <c r="C122" s="23">
        <v>15</v>
      </c>
      <c r="E122" s="19" t="s">
        <v>10</v>
      </c>
      <c r="F122" s="9" t="s">
        <v>11</v>
      </c>
      <c r="G122" t="s">
        <v>13</v>
      </c>
      <c r="H122" t="s">
        <v>519</v>
      </c>
    </row>
    <row r="123" spans="1:8" x14ac:dyDescent="0.25">
      <c r="A123" s="18">
        <v>46108</v>
      </c>
      <c r="B123" s="4" t="s">
        <v>6</v>
      </c>
      <c r="C123" s="23">
        <v>10</v>
      </c>
      <c r="D123" s="2">
        <v>8</v>
      </c>
      <c r="E123" s="19" t="s">
        <v>10</v>
      </c>
      <c r="F123" t="s">
        <v>21</v>
      </c>
      <c r="G123" s="9" t="s">
        <v>18</v>
      </c>
      <c r="H123" t="s">
        <v>520</v>
      </c>
    </row>
    <row r="124" spans="1:8" x14ac:dyDescent="0.25">
      <c r="A124" s="18">
        <v>46109</v>
      </c>
      <c r="B124" s="4" t="s">
        <v>8</v>
      </c>
      <c r="C124" s="23">
        <v>40</v>
      </c>
      <c r="D124" s="2">
        <v>8</v>
      </c>
      <c r="E124" s="19" t="s">
        <v>4</v>
      </c>
      <c r="F124" s="9" t="s">
        <v>29</v>
      </c>
      <c r="G124" t="s">
        <v>5</v>
      </c>
      <c r="H124" t="s">
        <v>521</v>
      </c>
    </row>
    <row r="125" spans="1:8" x14ac:dyDescent="0.25">
      <c r="A125" s="18">
        <v>46109</v>
      </c>
      <c r="B125" s="4" t="s">
        <v>3</v>
      </c>
      <c r="C125" s="23">
        <v>10</v>
      </c>
      <c r="E125" s="19" t="s">
        <v>10</v>
      </c>
      <c r="F125" s="9" t="s">
        <v>29</v>
      </c>
      <c r="G125" s="9" t="s">
        <v>18</v>
      </c>
      <c r="H125" t="s">
        <v>522</v>
      </c>
    </row>
    <row r="126" spans="1:8" x14ac:dyDescent="0.25">
      <c r="A126" s="18">
        <v>46109</v>
      </c>
      <c r="B126" s="4" t="s">
        <v>3</v>
      </c>
      <c r="C126" s="23">
        <v>20</v>
      </c>
      <c r="D126" s="2">
        <v>8</v>
      </c>
      <c r="E126" s="19" t="s">
        <v>10</v>
      </c>
      <c r="F126" s="9" t="s">
        <v>29</v>
      </c>
      <c r="G126" s="9" t="s">
        <v>18</v>
      </c>
      <c r="H126" t="s">
        <v>523</v>
      </c>
    </row>
    <row r="127" spans="1:8" x14ac:dyDescent="0.25">
      <c r="A127" s="18">
        <v>46109</v>
      </c>
      <c r="B127" s="4" t="s">
        <v>6</v>
      </c>
      <c r="C127" s="23">
        <v>15</v>
      </c>
      <c r="E127" s="19" t="s">
        <v>4</v>
      </c>
      <c r="F127" s="9" t="s">
        <v>29</v>
      </c>
      <c r="G127" t="s">
        <v>7</v>
      </c>
      <c r="H127" t="s">
        <v>524</v>
      </c>
    </row>
    <row r="128" spans="1:8" x14ac:dyDescent="0.25">
      <c r="A128" s="18">
        <v>46109</v>
      </c>
      <c r="B128" s="4" t="s">
        <v>6</v>
      </c>
      <c r="C128" s="23">
        <v>10</v>
      </c>
      <c r="D128" s="2">
        <v>8</v>
      </c>
      <c r="E128" s="19" t="s">
        <v>10</v>
      </c>
      <c r="F128" s="9" t="s">
        <v>24</v>
      </c>
      <c r="G128" s="9" t="s">
        <v>18</v>
      </c>
      <c r="H128" t="s">
        <v>525</v>
      </c>
    </row>
    <row r="129" spans="1:8" x14ac:dyDescent="0.25">
      <c r="A129" s="18">
        <v>46110</v>
      </c>
      <c r="B129" s="4" t="s">
        <v>8</v>
      </c>
      <c r="C129" s="23">
        <v>45</v>
      </c>
      <c r="D129" s="2">
        <v>8</v>
      </c>
      <c r="E129" s="19" t="s">
        <v>10</v>
      </c>
      <c r="F129" s="9" t="s">
        <v>24</v>
      </c>
      <c r="G129" t="s">
        <v>25</v>
      </c>
      <c r="H129" t="s">
        <v>526</v>
      </c>
    </row>
    <row r="130" spans="1:8" x14ac:dyDescent="0.25">
      <c r="A130" s="18">
        <v>46110</v>
      </c>
      <c r="B130" s="4" t="s">
        <v>6</v>
      </c>
      <c r="C130" s="23">
        <v>35</v>
      </c>
      <c r="E130" s="19" t="s">
        <v>10</v>
      </c>
      <c r="F130" s="9" t="s">
        <v>11</v>
      </c>
      <c r="G130" s="9" t="s">
        <v>12</v>
      </c>
    </row>
    <row r="131" spans="1:8" x14ac:dyDescent="0.25">
      <c r="A131" s="18">
        <v>46110</v>
      </c>
      <c r="B131" s="4" t="s">
        <v>6</v>
      </c>
      <c r="C131" s="23">
        <v>10</v>
      </c>
      <c r="E131" s="19" t="s">
        <v>10</v>
      </c>
      <c r="F131" s="9" t="s">
        <v>11</v>
      </c>
      <c r="G131" t="s">
        <v>13</v>
      </c>
    </row>
    <row r="132" spans="1:8" x14ac:dyDescent="0.25">
      <c r="A132" s="18">
        <v>46110</v>
      </c>
      <c r="B132" s="4" t="s">
        <v>6</v>
      </c>
      <c r="C132" s="23">
        <v>10</v>
      </c>
      <c r="E132" s="19" t="s">
        <v>10</v>
      </c>
      <c r="F132" t="s">
        <v>21</v>
      </c>
      <c r="G132" s="9" t="s">
        <v>18</v>
      </c>
      <c r="H132" t="s">
        <v>527</v>
      </c>
    </row>
    <row r="133" spans="1:8" x14ac:dyDescent="0.25">
      <c r="A133" s="18">
        <v>46110</v>
      </c>
      <c r="B133" s="4" t="s">
        <v>6</v>
      </c>
      <c r="C133" s="23">
        <v>10</v>
      </c>
      <c r="D133" s="2">
        <v>8</v>
      </c>
      <c r="E133" s="19" t="s">
        <v>10</v>
      </c>
      <c r="F133" t="s">
        <v>28</v>
      </c>
      <c r="G133" s="7" t="s">
        <v>18</v>
      </c>
      <c r="H133" t="s">
        <v>528</v>
      </c>
    </row>
    <row r="134" spans="1:8" x14ac:dyDescent="0.25">
      <c r="A134" s="18">
        <v>46111</v>
      </c>
      <c r="B134" s="4" t="s">
        <v>3</v>
      </c>
      <c r="C134" s="23">
        <v>25</v>
      </c>
      <c r="E134" s="19" t="s">
        <v>4</v>
      </c>
      <c r="F134" s="9" t="s">
        <v>29</v>
      </c>
      <c r="G134" t="s">
        <v>5</v>
      </c>
      <c r="H134" t="s">
        <v>529</v>
      </c>
    </row>
    <row r="135" spans="1:8" x14ac:dyDescent="0.25">
      <c r="A135" s="18">
        <v>46111</v>
      </c>
      <c r="B135" s="4" t="s">
        <v>3</v>
      </c>
      <c r="C135" s="23">
        <v>10</v>
      </c>
      <c r="E135" s="19" t="s">
        <v>10</v>
      </c>
      <c r="F135" s="9" t="s">
        <v>11</v>
      </c>
      <c r="G135" t="s">
        <v>13</v>
      </c>
      <c r="H135" t="s">
        <v>90</v>
      </c>
    </row>
    <row r="136" spans="1:8" x14ac:dyDescent="0.25">
      <c r="A136" s="18">
        <v>46111</v>
      </c>
      <c r="B136" s="4" t="s">
        <v>3</v>
      </c>
      <c r="C136" s="23">
        <v>10</v>
      </c>
      <c r="D136" s="2">
        <v>8</v>
      </c>
      <c r="E136" s="19" t="s">
        <v>10</v>
      </c>
      <c r="F136" s="9" t="s">
        <v>11</v>
      </c>
      <c r="G136" t="s">
        <v>13</v>
      </c>
      <c r="H136" t="s">
        <v>530</v>
      </c>
    </row>
    <row r="137" spans="1:8" x14ac:dyDescent="0.25">
      <c r="A137" s="18">
        <v>46111</v>
      </c>
      <c r="B137" s="4" t="s">
        <v>6</v>
      </c>
      <c r="C137" s="23">
        <v>20</v>
      </c>
      <c r="E137" s="19" t="s">
        <v>10</v>
      </c>
      <c r="F137" s="9" t="s">
        <v>16</v>
      </c>
      <c r="G137" t="s">
        <v>13</v>
      </c>
      <c r="H137" t="s">
        <v>531</v>
      </c>
    </row>
    <row r="138" spans="1:8" x14ac:dyDescent="0.25">
      <c r="A138" s="18">
        <v>46111</v>
      </c>
      <c r="B138" s="4" t="s">
        <v>6</v>
      </c>
      <c r="C138" s="23">
        <v>20</v>
      </c>
      <c r="E138" s="19" t="s">
        <v>10</v>
      </c>
      <c r="F138" s="9" t="s">
        <v>11</v>
      </c>
      <c r="G138" t="s">
        <v>13</v>
      </c>
      <c r="H138" t="s">
        <v>532</v>
      </c>
    </row>
    <row r="139" spans="1:8" x14ac:dyDescent="0.25">
      <c r="A139" s="18">
        <v>46111</v>
      </c>
      <c r="B139" s="4" t="s">
        <v>6</v>
      </c>
      <c r="C139" s="23">
        <v>25</v>
      </c>
      <c r="E139" s="19" t="s">
        <v>10</v>
      </c>
      <c r="F139" s="9" t="s">
        <v>29</v>
      </c>
      <c r="G139" t="s">
        <v>18</v>
      </c>
      <c r="H139" t="s">
        <v>533</v>
      </c>
    </row>
    <row r="140" spans="1:8" x14ac:dyDescent="0.25">
      <c r="A140" s="18">
        <v>46111</v>
      </c>
      <c r="B140" s="4" t="s">
        <v>6</v>
      </c>
      <c r="C140" s="23">
        <v>20</v>
      </c>
      <c r="E140" s="19" t="s">
        <v>10</v>
      </c>
      <c r="F140" s="9" t="s">
        <v>31</v>
      </c>
      <c r="G140" t="s">
        <v>18</v>
      </c>
      <c r="H140" t="s">
        <v>534</v>
      </c>
    </row>
    <row r="141" spans="1:8" x14ac:dyDescent="0.25">
      <c r="A141" s="18">
        <v>46111</v>
      </c>
      <c r="B141" s="4" t="s">
        <v>6</v>
      </c>
      <c r="C141" s="23">
        <v>35</v>
      </c>
      <c r="D141" s="2">
        <v>8</v>
      </c>
      <c r="E141" s="19" t="s">
        <v>10</v>
      </c>
      <c r="F141" s="9" t="s">
        <v>29</v>
      </c>
      <c r="G141" t="s">
        <v>18</v>
      </c>
      <c r="H141" t="s">
        <v>535</v>
      </c>
    </row>
    <row r="142" spans="1:8" x14ac:dyDescent="0.25">
      <c r="A142" s="18">
        <v>46111</v>
      </c>
      <c r="B142" s="4" t="s">
        <v>8</v>
      </c>
      <c r="C142" s="23">
        <v>10</v>
      </c>
      <c r="E142" s="19" t="s">
        <v>10</v>
      </c>
      <c r="F142" s="9" t="s">
        <v>11</v>
      </c>
      <c r="G142" t="s">
        <v>13</v>
      </c>
      <c r="H142" t="s">
        <v>536</v>
      </c>
    </row>
    <row r="143" spans="1:8" x14ac:dyDescent="0.25">
      <c r="A143" s="18">
        <v>46111</v>
      </c>
      <c r="B143" s="4" t="s">
        <v>8</v>
      </c>
      <c r="C143" s="23">
        <v>0</v>
      </c>
      <c r="D143" s="2">
        <v>8</v>
      </c>
    </row>
    <row r="144" spans="1:8" x14ac:dyDescent="0.25">
      <c r="A144" s="18">
        <v>46112</v>
      </c>
      <c r="B144" s="4" t="s">
        <v>3</v>
      </c>
      <c r="C144" s="23">
        <v>25</v>
      </c>
      <c r="D144" s="2">
        <v>8</v>
      </c>
      <c r="E144" s="19" t="s">
        <v>4</v>
      </c>
      <c r="F144" s="9" t="s">
        <v>21</v>
      </c>
      <c r="G144" t="s">
        <v>5</v>
      </c>
      <c r="H144" t="s">
        <v>537</v>
      </c>
    </row>
    <row r="145" spans="1:8" x14ac:dyDescent="0.25">
      <c r="A145" s="18">
        <v>46112</v>
      </c>
      <c r="B145" s="4" t="s">
        <v>6</v>
      </c>
      <c r="C145" s="23">
        <v>50</v>
      </c>
      <c r="E145" t="s">
        <v>37</v>
      </c>
      <c r="F145" t="s">
        <v>11</v>
      </c>
      <c r="G145" s="9" t="s">
        <v>38</v>
      </c>
      <c r="H145" t="s">
        <v>538</v>
      </c>
    </row>
    <row r="146" spans="1:8" x14ac:dyDescent="0.25">
      <c r="A146" s="18">
        <v>46112</v>
      </c>
      <c r="B146" s="4" t="s">
        <v>6</v>
      </c>
      <c r="C146" s="23">
        <v>75</v>
      </c>
      <c r="E146" s="19" t="s">
        <v>10</v>
      </c>
      <c r="F146" t="s">
        <v>19</v>
      </c>
      <c r="G146" t="s">
        <v>18</v>
      </c>
      <c r="H146" t="s">
        <v>539</v>
      </c>
    </row>
    <row r="147" spans="1:8" x14ac:dyDescent="0.25">
      <c r="A147" s="18">
        <v>46112</v>
      </c>
      <c r="B147" s="4" t="s">
        <v>6</v>
      </c>
      <c r="C147" s="23">
        <v>30</v>
      </c>
      <c r="E147" s="19" t="s">
        <v>10</v>
      </c>
      <c r="F147" s="9" t="s">
        <v>11</v>
      </c>
      <c r="G147" t="s">
        <v>13</v>
      </c>
      <c r="H147" t="s">
        <v>191</v>
      </c>
    </row>
    <row r="148" spans="1:8" x14ac:dyDescent="0.25">
      <c r="A148" s="18">
        <v>46112</v>
      </c>
      <c r="B148" s="4" t="s">
        <v>6</v>
      </c>
      <c r="C148" s="23">
        <v>15</v>
      </c>
      <c r="D148" s="2">
        <v>8</v>
      </c>
      <c r="E148" s="19" t="s">
        <v>4</v>
      </c>
      <c r="F148" s="9" t="s">
        <v>21</v>
      </c>
      <c r="G148" t="s">
        <v>5</v>
      </c>
      <c r="H148" t="s">
        <v>540</v>
      </c>
    </row>
    <row r="149" spans="1:8" x14ac:dyDescent="0.25">
      <c r="A149" s="18">
        <v>46112</v>
      </c>
      <c r="B149" s="4" t="s">
        <v>8</v>
      </c>
      <c r="C149" s="23">
        <v>0</v>
      </c>
      <c r="D149" s="2">
        <v>8</v>
      </c>
    </row>
    <row r="150" spans="1:8" x14ac:dyDescent="0.25">
      <c r="C150" s="23"/>
    </row>
    <row r="151" spans="1:8" x14ac:dyDescent="0.25">
      <c r="C151" s="23"/>
    </row>
    <row r="152" spans="1:8" x14ac:dyDescent="0.25">
      <c r="C152" s="23"/>
    </row>
    <row r="153" spans="1:8" x14ac:dyDescent="0.25">
      <c r="C153" s="23"/>
    </row>
    <row r="154" spans="1:8" x14ac:dyDescent="0.25">
      <c r="C154" s="23"/>
    </row>
    <row r="155" spans="1:8" x14ac:dyDescent="0.25">
      <c r="C155" s="23"/>
    </row>
    <row r="156" spans="1:8" x14ac:dyDescent="0.25">
      <c r="C156" s="23"/>
    </row>
    <row r="157" spans="1:8" x14ac:dyDescent="0.25">
      <c r="C157" s="23"/>
    </row>
    <row r="158" spans="1:8" x14ac:dyDescent="0.25">
      <c r="C158" s="23"/>
    </row>
    <row r="159" spans="1:8" x14ac:dyDescent="0.25">
      <c r="C159" s="23"/>
    </row>
    <row r="160" spans="1:8" x14ac:dyDescent="0.25">
      <c r="C160" s="23"/>
    </row>
    <row r="161" spans="3:3" x14ac:dyDescent="0.25">
      <c r="C161" s="23"/>
    </row>
    <row r="162" spans="3:3" x14ac:dyDescent="0.25">
      <c r="C162" s="23"/>
    </row>
    <row r="163" spans="3:3" x14ac:dyDescent="0.25">
      <c r="C163" s="23"/>
    </row>
    <row r="164" spans="3:3" x14ac:dyDescent="0.25">
      <c r="C164" s="23"/>
    </row>
    <row r="165" spans="3:3" x14ac:dyDescent="0.25">
      <c r="C165" s="23"/>
    </row>
    <row r="166" spans="3:3" x14ac:dyDescent="0.25">
      <c r="C166" s="23"/>
    </row>
    <row r="167" spans="3:3" x14ac:dyDescent="0.25">
      <c r="C167" s="23"/>
    </row>
    <row r="168" spans="3:3" x14ac:dyDescent="0.25">
      <c r="C168" s="23"/>
    </row>
    <row r="169" spans="3:3" x14ac:dyDescent="0.25">
      <c r="C169" s="23"/>
    </row>
    <row r="170" spans="3:3" x14ac:dyDescent="0.25">
      <c r="C170" s="23"/>
    </row>
  </sheetData>
  <autoFilter ref="A1:H525" xr:uid="{2B543102-7F5A-4A58-B7F1-6AA5F3CFE94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6ACD-2C9B-4FF9-AE0F-789372D7B5CC}">
  <sheetPr>
    <tabColor theme="4" tint="0.39997558519241921"/>
  </sheetPr>
  <dimension ref="A1:H161"/>
  <sheetViews>
    <sheetView topLeftCell="C1" zoomScaleNormal="100" workbookViewId="0">
      <pane ySplit="1" topLeftCell="A2" activePane="bottomLeft" state="frozen"/>
      <selection pane="bottomLeft" activeCell="I1" sqref="I1:J1048576"/>
    </sheetView>
  </sheetViews>
  <sheetFormatPr baseColWidth="10" defaultRowHeight="15" x14ac:dyDescent="0.25"/>
  <cols>
    <col min="2" max="2" width="16.140625" customWidth="1"/>
    <col min="3" max="3" width="15.42578125" bestFit="1" customWidth="1"/>
    <col min="4" max="4" width="8.85546875" style="2" bestFit="1" customWidth="1"/>
    <col min="5" max="5" width="16.5703125" bestFit="1" customWidth="1"/>
    <col min="6" max="6" width="18.28515625" customWidth="1"/>
    <col min="7" max="7" width="34.42578125" customWidth="1"/>
    <col min="8" max="8" width="69.5703125" customWidth="1"/>
  </cols>
  <sheetData>
    <row r="1" spans="1:8" s="10" customFormat="1" x14ac:dyDescent="0.25">
      <c r="A1" s="1" t="s">
        <v>40</v>
      </c>
      <c r="B1" s="1" t="s">
        <v>0</v>
      </c>
      <c r="C1" s="1" t="s">
        <v>41</v>
      </c>
      <c r="D1" s="1" t="s">
        <v>42</v>
      </c>
      <c r="E1" s="3" t="s">
        <v>1</v>
      </c>
      <c r="F1" s="3" t="s">
        <v>43</v>
      </c>
      <c r="G1" s="3" t="s">
        <v>2</v>
      </c>
      <c r="H1" s="3" t="s">
        <v>273</v>
      </c>
    </row>
    <row r="2" spans="1:8" x14ac:dyDescent="0.25">
      <c r="A2" s="11">
        <v>46113</v>
      </c>
      <c r="B2" s="12" t="s">
        <v>3</v>
      </c>
      <c r="C2" s="35">
        <v>10</v>
      </c>
      <c r="D2" s="36"/>
      <c r="E2" s="15" t="s">
        <v>10</v>
      </c>
      <c r="F2" s="16" t="s">
        <v>16</v>
      </c>
      <c r="G2" s="17" t="s">
        <v>13</v>
      </c>
      <c r="H2" s="17" t="s">
        <v>44</v>
      </c>
    </row>
    <row r="3" spans="1:8" x14ac:dyDescent="0.25">
      <c r="A3" s="18">
        <v>46113</v>
      </c>
      <c r="B3" s="4" t="s">
        <v>3</v>
      </c>
      <c r="C3" s="23">
        <v>10</v>
      </c>
      <c r="D3" s="2">
        <v>8</v>
      </c>
      <c r="E3" s="19" t="s">
        <v>10</v>
      </c>
      <c r="F3" s="9" t="s">
        <v>16</v>
      </c>
      <c r="G3" t="s">
        <v>13</v>
      </c>
      <c r="H3" t="s">
        <v>439</v>
      </c>
    </row>
    <row r="4" spans="1:8" x14ac:dyDescent="0.25">
      <c r="A4" s="18">
        <v>46113</v>
      </c>
      <c r="B4" s="4" t="s">
        <v>6</v>
      </c>
      <c r="C4" s="23">
        <v>0</v>
      </c>
      <c r="D4" s="2">
        <v>8</v>
      </c>
    </row>
    <row r="5" spans="1:8" x14ac:dyDescent="0.25">
      <c r="A5" s="18">
        <v>46113</v>
      </c>
      <c r="B5" s="4" t="s">
        <v>8</v>
      </c>
      <c r="C5" s="23">
        <v>10</v>
      </c>
      <c r="D5" s="2">
        <v>8</v>
      </c>
      <c r="E5" s="19" t="s">
        <v>10</v>
      </c>
      <c r="F5" s="9" t="s">
        <v>11</v>
      </c>
      <c r="G5" t="s">
        <v>13</v>
      </c>
      <c r="H5" t="s">
        <v>45</v>
      </c>
    </row>
    <row r="6" spans="1:8" x14ac:dyDescent="0.25">
      <c r="A6" s="18">
        <v>46114</v>
      </c>
      <c r="B6" s="4" t="s">
        <v>6</v>
      </c>
      <c r="C6" s="23">
        <v>15</v>
      </c>
      <c r="E6" s="19" t="s">
        <v>10</v>
      </c>
      <c r="F6" s="9" t="s">
        <v>16</v>
      </c>
      <c r="G6" t="s">
        <v>13</v>
      </c>
      <c r="H6" t="s">
        <v>46</v>
      </c>
    </row>
    <row r="7" spans="1:8" x14ac:dyDescent="0.25">
      <c r="A7" s="18">
        <v>46114</v>
      </c>
      <c r="B7" s="4" t="s">
        <v>6</v>
      </c>
      <c r="C7" s="23">
        <f>120+45</f>
        <v>165</v>
      </c>
      <c r="E7" s="19" t="s">
        <v>4</v>
      </c>
      <c r="F7" s="9" t="s">
        <v>31</v>
      </c>
      <c r="G7" t="s">
        <v>7</v>
      </c>
      <c r="H7" t="s">
        <v>47</v>
      </c>
    </row>
    <row r="8" spans="1:8" x14ac:dyDescent="0.25">
      <c r="A8" s="18">
        <v>46114</v>
      </c>
      <c r="B8" s="4" t="s">
        <v>6</v>
      </c>
      <c r="C8" s="23">
        <v>15</v>
      </c>
      <c r="D8" s="2">
        <v>8</v>
      </c>
      <c r="E8" s="19" t="s">
        <v>10</v>
      </c>
      <c r="F8" s="9" t="s">
        <v>11</v>
      </c>
      <c r="G8" t="s">
        <v>13</v>
      </c>
    </row>
    <row r="9" spans="1:8" x14ac:dyDescent="0.25">
      <c r="A9" s="18">
        <v>46116</v>
      </c>
      <c r="B9" s="4" t="s">
        <v>3</v>
      </c>
      <c r="C9" s="23">
        <v>55</v>
      </c>
      <c r="E9" s="19" t="s">
        <v>4</v>
      </c>
      <c r="F9" s="9" t="s">
        <v>28</v>
      </c>
      <c r="G9" t="s">
        <v>7</v>
      </c>
      <c r="H9" t="s">
        <v>48</v>
      </c>
    </row>
    <row r="10" spans="1:8" x14ac:dyDescent="0.25">
      <c r="A10" s="18">
        <v>46116</v>
      </c>
      <c r="B10" s="4" t="s">
        <v>3</v>
      </c>
      <c r="C10" s="23">
        <v>15</v>
      </c>
      <c r="D10" s="2">
        <v>8</v>
      </c>
      <c r="E10" s="19" t="s">
        <v>10</v>
      </c>
      <c r="F10" s="9" t="s">
        <v>11</v>
      </c>
      <c r="G10" t="s">
        <v>13</v>
      </c>
      <c r="H10" t="s">
        <v>49</v>
      </c>
    </row>
    <row r="11" spans="1:8" x14ac:dyDescent="0.25">
      <c r="A11" s="18">
        <v>46116</v>
      </c>
      <c r="B11" s="4" t="s">
        <v>6</v>
      </c>
      <c r="C11" s="23">
        <v>20</v>
      </c>
      <c r="E11" s="19" t="s">
        <v>10</v>
      </c>
      <c r="F11" s="9" t="s">
        <v>11</v>
      </c>
      <c r="G11" t="s">
        <v>13</v>
      </c>
    </row>
    <row r="12" spans="1:8" x14ac:dyDescent="0.25">
      <c r="A12" s="18">
        <v>46116</v>
      </c>
      <c r="B12" s="4" t="s">
        <v>6</v>
      </c>
      <c r="C12" s="23">
        <v>15</v>
      </c>
      <c r="E12" s="19" t="s">
        <v>10</v>
      </c>
      <c r="F12" s="9" t="s">
        <v>29</v>
      </c>
      <c r="G12" t="s">
        <v>18</v>
      </c>
      <c r="H12" t="s">
        <v>50</v>
      </c>
    </row>
    <row r="13" spans="1:8" x14ac:dyDescent="0.25">
      <c r="A13" s="18">
        <v>46116</v>
      </c>
      <c r="B13" s="4" t="s">
        <v>6</v>
      </c>
      <c r="C13" s="23">
        <v>15</v>
      </c>
      <c r="E13" s="19" t="s">
        <v>10</v>
      </c>
      <c r="F13" s="9" t="s">
        <v>29</v>
      </c>
      <c r="G13" t="s">
        <v>18</v>
      </c>
      <c r="H13" t="s">
        <v>51</v>
      </c>
    </row>
    <row r="14" spans="1:8" x14ac:dyDescent="0.25">
      <c r="A14" s="18">
        <v>46116</v>
      </c>
      <c r="B14" s="4" t="s">
        <v>8</v>
      </c>
      <c r="C14" s="23">
        <v>0</v>
      </c>
      <c r="D14" s="2">
        <v>8</v>
      </c>
      <c r="E14" s="19"/>
    </row>
    <row r="15" spans="1:8" x14ac:dyDescent="0.25">
      <c r="A15" s="18">
        <v>46118</v>
      </c>
      <c r="B15" s="4" t="s">
        <v>6</v>
      </c>
      <c r="C15" s="23">
        <f>60*3+30</f>
        <v>210</v>
      </c>
      <c r="E15" s="19" t="s">
        <v>4</v>
      </c>
      <c r="F15" s="9" t="s">
        <v>28</v>
      </c>
      <c r="G15" t="s">
        <v>7</v>
      </c>
      <c r="H15" t="s">
        <v>52</v>
      </c>
    </row>
    <row r="16" spans="1:8" x14ac:dyDescent="0.25">
      <c r="A16" s="18">
        <v>46118</v>
      </c>
      <c r="B16" s="4" t="s">
        <v>6</v>
      </c>
      <c r="C16" s="23">
        <v>7</v>
      </c>
      <c r="E16" s="19" t="s">
        <v>10</v>
      </c>
      <c r="F16" s="9" t="s">
        <v>11</v>
      </c>
      <c r="G16" t="s">
        <v>13</v>
      </c>
    </row>
    <row r="17" spans="1:8" x14ac:dyDescent="0.25">
      <c r="A17" s="18">
        <v>46118</v>
      </c>
      <c r="B17" s="4" t="s">
        <v>6</v>
      </c>
      <c r="C17" s="23">
        <v>15</v>
      </c>
      <c r="D17" s="2">
        <v>8</v>
      </c>
      <c r="E17" s="19" t="s">
        <v>10</v>
      </c>
      <c r="F17" s="9" t="s">
        <v>16</v>
      </c>
      <c r="G17" t="s">
        <v>13</v>
      </c>
      <c r="H17" t="s">
        <v>53</v>
      </c>
    </row>
    <row r="18" spans="1:8" x14ac:dyDescent="0.25">
      <c r="A18" s="18">
        <v>46118</v>
      </c>
      <c r="B18" s="4" t="s">
        <v>8</v>
      </c>
      <c r="C18" s="23">
        <v>10</v>
      </c>
      <c r="E18" s="19" t="s">
        <v>10</v>
      </c>
      <c r="F18" s="9" t="s">
        <v>16</v>
      </c>
      <c r="G18" t="s">
        <v>13</v>
      </c>
      <c r="H18" t="s">
        <v>54</v>
      </c>
    </row>
    <row r="19" spans="1:8" x14ac:dyDescent="0.25">
      <c r="A19" s="18">
        <v>46118</v>
      </c>
      <c r="B19" s="4" t="s">
        <v>8</v>
      </c>
      <c r="C19" s="23">
        <v>15</v>
      </c>
      <c r="E19" s="19" t="s">
        <v>10</v>
      </c>
      <c r="F19" s="9" t="s">
        <v>16</v>
      </c>
      <c r="G19" t="s">
        <v>13</v>
      </c>
      <c r="H19" t="s">
        <v>55</v>
      </c>
    </row>
    <row r="20" spans="1:8" x14ac:dyDescent="0.25">
      <c r="A20" s="18">
        <v>46118</v>
      </c>
      <c r="B20" s="4" t="s">
        <v>8</v>
      </c>
      <c r="C20" s="23">
        <v>10</v>
      </c>
      <c r="E20" s="19" t="s">
        <v>10</v>
      </c>
      <c r="F20" s="9" t="s">
        <v>21</v>
      </c>
      <c r="G20" t="s">
        <v>18</v>
      </c>
      <c r="H20" t="s">
        <v>56</v>
      </c>
    </row>
    <row r="21" spans="1:8" x14ac:dyDescent="0.25">
      <c r="A21" s="18">
        <v>46118</v>
      </c>
      <c r="B21" s="4" t="s">
        <v>8</v>
      </c>
      <c r="C21" s="23">
        <v>10</v>
      </c>
      <c r="E21" s="19" t="s">
        <v>10</v>
      </c>
      <c r="F21" s="9" t="s">
        <v>11</v>
      </c>
      <c r="G21" t="s">
        <v>13</v>
      </c>
    </row>
    <row r="22" spans="1:8" x14ac:dyDescent="0.25">
      <c r="A22" s="18">
        <v>46118</v>
      </c>
      <c r="B22" s="4" t="s">
        <v>8</v>
      </c>
      <c r="C22" s="23">
        <v>10</v>
      </c>
      <c r="D22" s="2">
        <v>8</v>
      </c>
      <c r="E22" s="19" t="s">
        <v>10</v>
      </c>
      <c r="F22" s="9" t="s">
        <v>29</v>
      </c>
      <c r="G22" t="s">
        <v>18</v>
      </c>
      <c r="H22" t="s">
        <v>57</v>
      </c>
    </row>
    <row r="23" spans="1:8" x14ac:dyDescent="0.25">
      <c r="A23" s="18">
        <v>46118</v>
      </c>
      <c r="B23" s="4" t="s">
        <v>3</v>
      </c>
      <c r="C23" s="23">
        <v>15</v>
      </c>
      <c r="E23" s="19" t="s">
        <v>10</v>
      </c>
      <c r="F23" s="9" t="s">
        <v>16</v>
      </c>
      <c r="G23" t="s">
        <v>13</v>
      </c>
      <c r="H23" t="s">
        <v>58</v>
      </c>
    </row>
    <row r="24" spans="1:8" x14ac:dyDescent="0.25">
      <c r="A24" s="18">
        <v>46118</v>
      </c>
      <c r="B24" s="4" t="s">
        <v>3</v>
      </c>
      <c r="C24" s="23">
        <v>10</v>
      </c>
      <c r="D24" s="2">
        <v>8</v>
      </c>
      <c r="E24" s="19" t="s">
        <v>10</v>
      </c>
      <c r="F24" s="9" t="s">
        <v>16</v>
      </c>
      <c r="G24" t="s">
        <v>13</v>
      </c>
      <c r="H24" t="s">
        <v>59</v>
      </c>
    </row>
    <row r="25" spans="1:8" x14ac:dyDescent="0.25">
      <c r="A25" s="18">
        <v>46119</v>
      </c>
      <c r="B25" s="4" t="s">
        <v>6</v>
      </c>
      <c r="C25" s="23">
        <v>15</v>
      </c>
      <c r="D25" s="2">
        <v>8</v>
      </c>
      <c r="E25" s="19" t="s">
        <v>10</v>
      </c>
      <c r="F25" s="9" t="s">
        <v>11</v>
      </c>
      <c r="G25" t="s">
        <v>13</v>
      </c>
      <c r="H25" t="s">
        <v>60</v>
      </c>
    </row>
    <row r="26" spans="1:8" x14ac:dyDescent="0.25">
      <c r="A26" s="18">
        <v>46119</v>
      </c>
      <c r="B26" s="4" t="s">
        <v>8</v>
      </c>
      <c r="C26" s="23">
        <v>10</v>
      </c>
      <c r="D26" s="2">
        <v>8</v>
      </c>
      <c r="E26" s="19" t="s">
        <v>10</v>
      </c>
      <c r="F26" s="9" t="s">
        <v>16</v>
      </c>
      <c r="G26" t="s">
        <v>13</v>
      </c>
      <c r="H26" t="s">
        <v>440</v>
      </c>
    </row>
    <row r="27" spans="1:8" x14ac:dyDescent="0.25">
      <c r="A27" s="18">
        <v>46119</v>
      </c>
      <c r="B27" s="4" t="s">
        <v>3</v>
      </c>
      <c r="C27" s="23">
        <v>30</v>
      </c>
      <c r="D27" s="2">
        <v>8</v>
      </c>
      <c r="E27" s="19" t="s">
        <v>10</v>
      </c>
      <c r="F27" s="9" t="s">
        <v>28</v>
      </c>
      <c r="G27" t="s">
        <v>18</v>
      </c>
      <c r="H27" t="s">
        <v>61</v>
      </c>
    </row>
    <row r="28" spans="1:8" x14ac:dyDescent="0.25">
      <c r="A28" s="18">
        <v>46120</v>
      </c>
      <c r="B28" s="4" t="s">
        <v>6</v>
      </c>
      <c r="C28" s="23">
        <v>15</v>
      </c>
      <c r="E28" s="19" t="s">
        <v>4</v>
      </c>
      <c r="F28" s="9" t="s">
        <v>29</v>
      </c>
      <c r="G28" t="s">
        <v>9</v>
      </c>
      <c r="H28" t="s">
        <v>63</v>
      </c>
    </row>
    <row r="29" spans="1:8" x14ac:dyDescent="0.25">
      <c r="A29" s="18">
        <v>46120</v>
      </c>
      <c r="B29" s="4" t="s">
        <v>6</v>
      </c>
      <c r="C29" s="23">
        <v>15</v>
      </c>
      <c r="D29" s="2">
        <v>8</v>
      </c>
      <c r="E29" s="19" t="s">
        <v>10</v>
      </c>
      <c r="F29" s="9" t="s">
        <v>11</v>
      </c>
      <c r="G29" t="s">
        <v>13</v>
      </c>
      <c r="H29" t="s">
        <v>64</v>
      </c>
    </row>
    <row r="30" spans="1:8" x14ac:dyDescent="0.25">
      <c r="A30" s="18">
        <v>46120</v>
      </c>
      <c r="B30" s="4" t="s">
        <v>8</v>
      </c>
      <c r="C30" s="23">
        <v>80</v>
      </c>
      <c r="E30" s="19" t="s">
        <v>10</v>
      </c>
      <c r="F30" s="9" t="s">
        <v>28</v>
      </c>
      <c r="G30" t="s">
        <v>18</v>
      </c>
      <c r="H30" t="s">
        <v>65</v>
      </c>
    </row>
    <row r="31" spans="1:8" x14ac:dyDescent="0.25">
      <c r="A31" s="18">
        <v>46120</v>
      </c>
      <c r="B31" s="4" t="s">
        <v>8</v>
      </c>
      <c r="C31" s="23">
        <v>10</v>
      </c>
      <c r="D31" s="2">
        <v>8</v>
      </c>
      <c r="E31" s="19" t="s">
        <v>10</v>
      </c>
      <c r="F31" s="9" t="s">
        <v>11</v>
      </c>
      <c r="G31" t="s">
        <v>13</v>
      </c>
    </row>
    <row r="32" spans="1:8" x14ac:dyDescent="0.25">
      <c r="A32" s="18">
        <v>46120</v>
      </c>
      <c r="B32" s="4" t="s">
        <v>3</v>
      </c>
      <c r="C32" s="23">
        <v>70</v>
      </c>
      <c r="E32" s="19" t="s">
        <v>10</v>
      </c>
      <c r="F32" s="9" t="s">
        <v>28</v>
      </c>
      <c r="G32" t="s">
        <v>18</v>
      </c>
      <c r="H32" t="s">
        <v>66</v>
      </c>
    </row>
    <row r="33" spans="1:8" x14ac:dyDescent="0.25">
      <c r="A33" s="18">
        <v>46120</v>
      </c>
      <c r="B33" s="4" t="s">
        <v>3</v>
      </c>
      <c r="C33" s="23">
        <v>10</v>
      </c>
      <c r="D33" s="2">
        <v>8</v>
      </c>
      <c r="E33" s="19" t="s">
        <v>10</v>
      </c>
      <c r="F33" s="9" t="s">
        <v>16</v>
      </c>
      <c r="G33" t="s">
        <v>13</v>
      </c>
      <c r="H33" t="s">
        <v>67</v>
      </c>
    </row>
    <row r="34" spans="1:8" x14ac:dyDescent="0.25">
      <c r="A34" s="18">
        <v>46121</v>
      </c>
      <c r="B34" s="4" t="s">
        <v>6</v>
      </c>
      <c r="C34" s="23">
        <v>15</v>
      </c>
      <c r="D34" s="2">
        <v>8</v>
      </c>
      <c r="E34" s="19" t="s">
        <v>10</v>
      </c>
      <c r="F34" s="9" t="s">
        <v>11</v>
      </c>
      <c r="G34" t="s">
        <v>13</v>
      </c>
      <c r="H34" t="s">
        <v>68</v>
      </c>
    </row>
    <row r="35" spans="1:8" x14ac:dyDescent="0.25">
      <c r="A35" s="18">
        <v>46121</v>
      </c>
      <c r="B35" s="4" t="s">
        <v>8</v>
      </c>
      <c r="C35" s="23">
        <v>10</v>
      </c>
      <c r="D35" s="2">
        <v>8</v>
      </c>
      <c r="E35" s="19" t="s">
        <v>10</v>
      </c>
      <c r="F35" s="9" t="s">
        <v>11</v>
      </c>
      <c r="G35" t="s">
        <v>13</v>
      </c>
      <c r="H35" t="s">
        <v>69</v>
      </c>
    </row>
    <row r="36" spans="1:8" x14ac:dyDescent="0.25">
      <c r="A36" s="18">
        <v>46121</v>
      </c>
      <c r="B36" s="4" t="s">
        <v>3</v>
      </c>
      <c r="C36" s="23">
        <v>30</v>
      </c>
      <c r="E36" s="19" t="s">
        <v>10</v>
      </c>
      <c r="F36" s="9" t="s">
        <v>28</v>
      </c>
      <c r="G36" t="s">
        <v>18</v>
      </c>
      <c r="H36" t="s">
        <v>70</v>
      </c>
    </row>
    <row r="37" spans="1:8" x14ac:dyDescent="0.25">
      <c r="A37" s="18">
        <v>46121</v>
      </c>
      <c r="B37" s="4" t="s">
        <v>3</v>
      </c>
      <c r="C37" s="23">
        <v>10</v>
      </c>
      <c r="E37" s="19" t="s">
        <v>10</v>
      </c>
      <c r="F37" s="9" t="s">
        <v>16</v>
      </c>
      <c r="G37" t="s">
        <v>13</v>
      </c>
      <c r="H37" t="s">
        <v>71</v>
      </c>
    </row>
    <row r="38" spans="1:8" x14ac:dyDescent="0.25">
      <c r="A38" s="18">
        <v>46121</v>
      </c>
      <c r="B38" s="4" t="s">
        <v>3</v>
      </c>
      <c r="C38" s="23">
        <v>10</v>
      </c>
      <c r="D38" s="2">
        <v>8</v>
      </c>
      <c r="E38" s="19" t="s">
        <v>10</v>
      </c>
      <c r="F38" s="9" t="s">
        <v>11</v>
      </c>
      <c r="G38" t="s">
        <v>13</v>
      </c>
      <c r="H38" t="s">
        <v>72</v>
      </c>
    </row>
    <row r="39" spans="1:8" x14ac:dyDescent="0.25">
      <c r="A39" s="18">
        <v>46122</v>
      </c>
      <c r="B39" s="4" t="s">
        <v>6</v>
      </c>
      <c r="C39" s="23">
        <v>15</v>
      </c>
      <c r="E39" s="19" t="s">
        <v>10</v>
      </c>
      <c r="F39" s="9" t="s">
        <v>16</v>
      </c>
      <c r="G39" t="s">
        <v>13</v>
      </c>
      <c r="H39" t="s">
        <v>73</v>
      </c>
    </row>
    <row r="40" spans="1:8" x14ac:dyDescent="0.25">
      <c r="A40" s="18">
        <v>46122</v>
      </c>
      <c r="B40" s="4" t="s">
        <v>6</v>
      </c>
      <c r="C40" s="23">
        <v>15</v>
      </c>
      <c r="E40" s="19" t="s">
        <v>10</v>
      </c>
      <c r="F40" s="9" t="s">
        <v>16</v>
      </c>
      <c r="G40" t="s">
        <v>13</v>
      </c>
      <c r="H40" t="s">
        <v>74</v>
      </c>
    </row>
    <row r="41" spans="1:8" x14ac:dyDescent="0.25">
      <c r="A41" s="18">
        <v>46122</v>
      </c>
      <c r="B41" s="4" t="s">
        <v>6</v>
      </c>
      <c r="C41" s="23">
        <v>10</v>
      </c>
      <c r="E41" s="19" t="s">
        <v>10</v>
      </c>
      <c r="F41" s="9" t="s">
        <v>11</v>
      </c>
      <c r="G41" t="s">
        <v>13</v>
      </c>
      <c r="H41" t="s">
        <v>75</v>
      </c>
    </row>
    <row r="42" spans="1:8" x14ac:dyDescent="0.25">
      <c r="A42" s="18">
        <v>46122</v>
      </c>
      <c r="B42" s="4" t="s">
        <v>6</v>
      </c>
      <c r="C42" s="23">
        <v>25</v>
      </c>
      <c r="D42" s="2">
        <v>8</v>
      </c>
      <c r="E42" s="19" t="s">
        <v>10</v>
      </c>
      <c r="F42" t="s">
        <v>24</v>
      </c>
      <c r="G42" s="7" t="s">
        <v>25</v>
      </c>
      <c r="H42" t="s">
        <v>76</v>
      </c>
    </row>
    <row r="43" spans="1:8" x14ac:dyDescent="0.25">
      <c r="A43" s="18">
        <v>46122</v>
      </c>
      <c r="B43" s="4" t="s">
        <v>8</v>
      </c>
      <c r="C43" s="23">
        <v>15</v>
      </c>
      <c r="E43" s="19" t="s">
        <v>10</v>
      </c>
      <c r="F43" s="9" t="s">
        <v>16</v>
      </c>
      <c r="G43" t="s">
        <v>13</v>
      </c>
      <c r="H43" t="s">
        <v>77</v>
      </c>
    </row>
    <row r="44" spans="1:8" x14ac:dyDescent="0.25">
      <c r="A44" s="18">
        <v>46122</v>
      </c>
      <c r="B44" s="4" t="s">
        <v>8</v>
      </c>
      <c r="C44" s="23">
        <v>15</v>
      </c>
      <c r="D44" s="2">
        <v>8</v>
      </c>
      <c r="E44" s="19" t="s">
        <v>4</v>
      </c>
      <c r="F44" s="9" t="s">
        <v>29</v>
      </c>
      <c r="G44" t="s">
        <v>7</v>
      </c>
      <c r="H44" t="s">
        <v>78</v>
      </c>
    </row>
    <row r="45" spans="1:8" x14ac:dyDescent="0.25">
      <c r="A45" s="18">
        <v>46122</v>
      </c>
      <c r="B45" s="4" t="s">
        <v>3</v>
      </c>
      <c r="C45" s="23">
        <v>10</v>
      </c>
      <c r="E45" s="19" t="s">
        <v>4</v>
      </c>
      <c r="F45" s="9" t="s">
        <v>29</v>
      </c>
      <c r="G45" t="s">
        <v>5</v>
      </c>
      <c r="H45" t="s">
        <v>79</v>
      </c>
    </row>
    <row r="46" spans="1:8" x14ac:dyDescent="0.25">
      <c r="A46" s="18">
        <v>46122</v>
      </c>
      <c r="B46" s="4" t="s">
        <v>3</v>
      </c>
      <c r="C46" s="23">
        <v>10</v>
      </c>
      <c r="D46" s="2">
        <v>8</v>
      </c>
      <c r="E46" s="19" t="s">
        <v>10</v>
      </c>
      <c r="F46" s="9" t="s">
        <v>11</v>
      </c>
      <c r="G46" t="s">
        <v>13</v>
      </c>
      <c r="H46" t="s">
        <v>80</v>
      </c>
    </row>
    <row r="47" spans="1:8" x14ac:dyDescent="0.25">
      <c r="A47" s="18">
        <v>46123</v>
      </c>
      <c r="B47" s="4" t="s">
        <v>6</v>
      </c>
      <c r="C47" s="23">
        <f>120+35</f>
        <v>155</v>
      </c>
      <c r="E47" s="19" t="s">
        <v>4</v>
      </c>
      <c r="F47" s="9" t="s">
        <v>32</v>
      </c>
      <c r="G47" t="s">
        <v>5</v>
      </c>
      <c r="H47" t="s">
        <v>81</v>
      </c>
    </row>
    <row r="48" spans="1:8" x14ac:dyDescent="0.25">
      <c r="A48" s="18">
        <v>46123</v>
      </c>
      <c r="B48" s="4" t="s">
        <v>6</v>
      </c>
      <c r="C48" s="23">
        <v>15</v>
      </c>
      <c r="E48" s="19" t="s">
        <v>10</v>
      </c>
      <c r="F48" s="9" t="s">
        <v>29</v>
      </c>
      <c r="G48" t="s">
        <v>18</v>
      </c>
      <c r="H48" t="s">
        <v>82</v>
      </c>
    </row>
    <row r="49" spans="1:8" x14ac:dyDescent="0.25">
      <c r="A49" s="18">
        <v>46123</v>
      </c>
      <c r="B49" s="4" t="s">
        <v>6</v>
      </c>
      <c r="C49" s="23">
        <v>10</v>
      </c>
      <c r="D49" s="2">
        <v>8</v>
      </c>
      <c r="E49" s="19" t="s">
        <v>10</v>
      </c>
      <c r="F49" s="9" t="s">
        <v>11</v>
      </c>
      <c r="G49" t="s">
        <v>13</v>
      </c>
    </row>
    <row r="50" spans="1:8" x14ac:dyDescent="0.25">
      <c r="A50" s="18">
        <v>46123</v>
      </c>
      <c r="B50" s="4" t="s">
        <v>8</v>
      </c>
      <c r="C50" s="23">
        <v>30</v>
      </c>
      <c r="D50" s="2">
        <v>8</v>
      </c>
      <c r="E50" s="8" t="s">
        <v>33</v>
      </c>
      <c r="F50" s="5" t="s">
        <v>11</v>
      </c>
      <c r="G50" s="6" t="s">
        <v>34</v>
      </c>
      <c r="H50" t="s">
        <v>83</v>
      </c>
    </row>
    <row r="51" spans="1:8" x14ac:dyDescent="0.25">
      <c r="A51" s="18">
        <v>46123</v>
      </c>
      <c r="B51" s="4" t="s">
        <v>3</v>
      </c>
      <c r="C51" s="23">
        <v>10</v>
      </c>
      <c r="E51" s="19" t="s">
        <v>10</v>
      </c>
      <c r="F51" s="9" t="s">
        <v>11</v>
      </c>
      <c r="G51" t="s">
        <v>13</v>
      </c>
      <c r="H51" t="s">
        <v>84</v>
      </c>
    </row>
    <row r="52" spans="1:8" x14ac:dyDescent="0.25">
      <c r="A52" s="18">
        <v>46123</v>
      </c>
      <c r="B52" s="4" t="s">
        <v>3</v>
      </c>
      <c r="C52" s="23">
        <v>5</v>
      </c>
      <c r="E52" s="19" t="s">
        <v>10</v>
      </c>
      <c r="F52" s="9" t="s">
        <v>24</v>
      </c>
      <c r="G52" t="s">
        <v>25</v>
      </c>
    </row>
    <row r="53" spans="1:8" x14ac:dyDescent="0.25">
      <c r="A53" s="18">
        <v>46123</v>
      </c>
      <c r="B53" s="4" t="s">
        <v>3</v>
      </c>
      <c r="C53" s="23">
        <v>5</v>
      </c>
      <c r="D53" s="2">
        <v>8</v>
      </c>
      <c r="E53" s="19" t="s">
        <v>10</v>
      </c>
      <c r="F53" s="9" t="s">
        <v>11</v>
      </c>
      <c r="G53" t="s">
        <v>13</v>
      </c>
      <c r="H53" t="s">
        <v>75</v>
      </c>
    </row>
    <row r="54" spans="1:8" x14ac:dyDescent="0.25">
      <c r="A54" s="18">
        <v>46124</v>
      </c>
      <c r="B54" s="4" t="s">
        <v>6</v>
      </c>
      <c r="C54" s="23">
        <v>10</v>
      </c>
      <c r="E54" s="19" t="s">
        <v>10</v>
      </c>
      <c r="F54" s="9" t="s">
        <v>11</v>
      </c>
      <c r="G54" t="s">
        <v>13</v>
      </c>
      <c r="H54" t="s">
        <v>85</v>
      </c>
    </row>
    <row r="55" spans="1:8" x14ac:dyDescent="0.25">
      <c r="A55" s="18">
        <v>46124</v>
      </c>
      <c r="B55" s="4" t="s">
        <v>6</v>
      </c>
      <c r="C55" s="23">
        <v>10</v>
      </c>
      <c r="E55" s="19" t="s">
        <v>10</v>
      </c>
      <c r="F55" s="9" t="s">
        <v>11</v>
      </c>
      <c r="G55" t="s">
        <v>13</v>
      </c>
      <c r="H55" t="s">
        <v>75</v>
      </c>
    </row>
    <row r="56" spans="1:8" x14ac:dyDescent="0.25">
      <c r="A56" s="18">
        <v>46124</v>
      </c>
      <c r="B56" s="4" t="s">
        <v>6</v>
      </c>
      <c r="C56" s="23">
        <v>10</v>
      </c>
      <c r="E56" s="19" t="s">
        <v>10</v>
      </c>
      <c r="F56" s="9" t="s">
        <v>28</v>
      </c>
      <c r="G56" t="s">
        <v>18</v>
      </c>
      <c r="H56" t="s">
        <v>86</v>
      </c>
    </row>
    <row r="57" spans="1:8" x14ac:dyDescent="0.25">
      <c r="A57" s="18">
        <v>46124</v>
      </c>
      <c r="B57" s="4" t="s">
        <v>6</v>
      </c>
      <c r="C57" s="23">
        <v>10</v>
      </c>
      <c r="D57" s="2">
        <v>8</v>
      </c>
      <c r="E57" s="19" t="s">
        <v>10</v>
      </c>
      <c r="F57" s="9" t="s">
        <v>11</v>
      </c>
      <c r="G57" t="s">
        <v>13</v>
      </c>
      <c r="H57" t="s">
        <v>69</v>
      </c>
    </row>
    <row r="58" spans="1:8" x14ac:dyDescent="0.25">
      <c r="A58" s="18">
        <v>46124</v>
      </c>
      <c r="B58" s="4" t="s">
        <v>3</v>
      </c>
      <c r="C58" s="23">
        <v>0</v>
      </c>
      <c r="D58" s="2">
        <v>8</v>
      </c>
    </row>
    <row r="59" spans="1:8" x14ac:dyDescent="0.25">
      <c r="A59" s="18">
        <v>46125</v>
      </c>
      <c r="B59" s="4" t="s">
        <v>8</v>
      </c>
      <c r="C59" s="23">
        <v>20</v>
      </c>
      <c r="E59" s="19" t="s">
        <v>10</v>
      </c>
      <c r="F59" s="9" t="s">
        <v>11</v>
      </c>
      <c r="G59" t="s">
        <v>13</v>
      </c>
      <c r="H59" t="s">
        <v>87</v>
      </c>
    </row>
    <row r="60" spans="1:8" x14ac:dyDescent="0.25">
      <c r="A60" s="18">
        <v>46125</v>
      </c>
      <c r="B60" s="4" t="s">
        <v>8</v>
      </c>
      <c r="C60" s="23">
        <v>15</v>
      </c>
      <c r="E60" s="19" t="s">
        <v>10</v>
      </c>
      <c r="F60" s="9" t="s">
        <v>29</v>
      </c>
      <c r="G60" t="s">
        <v>18</v>
      </c>
      <c r="H60" t="s">
        <v>88</v>
      </c>
    </row>
    <row r="61" spans="1:8" x14ac:dyDescent="0.25">
      <c r="A61" s="18">
        <v>46125</v>
      </c>
      <c r="B61" s="4" t="s">
        <v>8</v>
      </c>
      <c r="C61" s="23">
        <v>45</v>
      </c>
      <c r="E61" s="19" t="s">
        <v>10</v>
      </c>
      <c r="F61" s="9" t="s">
        <v>21</v>
      </c>
      <c r="G61" t="s">
        <v>22</v>
      </c>
      <c r="H61" t="s">
        <v>89</v>
      </c>
    </row>
    <row r="62" spans="1:8" x14ac:dyDescent="0.25">
      <c r="A62" s="18">
        <v>46125</v>
      </c>
      <c r="B62" s="4" t="s">
        <v>8</v>
      </c>
      <c r="C62" s="23">
        <v>10</v>
      </c>
      <c r="D62" s="2">
        <v>8</v>
      </c>
      <c r="E62" s="19" t="s">
        <v>10</v>
      </c>
      <c r="F62" s="9" t="s">
        <v>24</v>
      </c>
      <c r="G62" t="s">
        <v>25</v>
      </c>
    </row>
    <row r="63" spans="1:8" x14ac:dyDescent="0.25">
      <c r="A63" s="18">
        <v>46125</v>
      </c>
      <c r="B63" s="4" t="s">
        <v>3</v>
      </c>
      <c r="C63" s="23">
        <v>10</v>
      </c>
      <c r="E63" s="19" t="s">
        <v>10</v>
      </c>
      <c r="F63" s="9" t="s">
        <v>11</v>
      </c>
      <c r="G63" t="s">
        <v>13</v>
      </c>
      <c r="H63" t="s">
        <v>84</v>
      </c>
    </row>
    <row r="64" spans="1:8" x14ac:dyDescent="0.25">
      <c r="A64" s="18">
        <v>46125</v>
      </c>
      <c r="B64" s="4" t="s">
        <v>3</v>
      </c>
      <c r="C64" s="23">
        <v>5</v>
      </c>
      <c r="E64" s="19" t="s">
        <v>10</v>
      </c>
      <c r="F64" s="9" t="s">
        <v>11</v>
      </c>
      <c r="G64" t="s">
        <v>13</v>
      </c>
      <c r="H64" t="s">
        <v>75</v>
      </c>
    </row>
    <row r="65" spans="1:8" x14ac:dyDescent="0.25">
      <c r="A65" s="18">
        <v>46125</v>
      </c>
      <c r="B65" s="4" t="s">
        <v>3</v>
      </c>
      <c r="C65" s="23">
        <v>10</v>
      </c>
      <c r="D65" s="2">
        <v>8</v>
      </c>
      <c r="E65" s="19" t="s">
        <v>10</v>
      </c>
      <c r="F65" s="9" t="s">
        <v>11</v>
      </c>
      <c r="G65" t="s">
        <v>13</v>
      </c>
      <c r="H65" t="s">
        <v>90</v>
      </c>
    </row>
    <row r="66" spans="1:8" x14ac:dyDescent="0.25">
      <c r="A66" s="18">
        <v>46125</v>
      </c>
      <c r="B66" s="4" t="s">
        <v>6</v>
      </c>
      <c r="C66" s="23">
        <v>10</v>
      </c>
      <c r="E66" s="19" t="s">
        <v>10</v>
      </c>
      <c r="F66" s="9" t="s">
        <v>16</v>
      </c>
      <c r="G66" t="s">
        <v>13</v>
      </c>
      <c r="H66" t="s">
        <v>91</v>
      </c>
    </row>
    <row r="67" spans="1:8" x14ac:dyDescent="0.25">
      <c r="A67" s="18">
        <v>46125</v>
      </c>
      <c r="B67" s="4" t="s">
        <v>6</v>
      </c>
      <c r="C67" s="23">
        <v>5</v>
      </c>
      <c r="D67" s="2">
        <v>8</v>
      </c>
      <c r="E67" s="19" t="s">
        <v>10</v>
      </c>
      <c r="F67" s="9" t="s">
        <v>11</v>
      </c>
      <c r="G67" t="s">
        <v>13</v>
      </c>
      <c r="H67" t="s">
        <v>92</v>
      </c>
    </row>
    <row r="68" spans="1:8" x14ac:dyDescent="0.25">
      <c r="A68" s="18">
        <v>46126</v>
      </c>
      <c r="B68" s="4" t="s">
        <v>8</v>
      </c>
      <c r="C68" s="23">
        <v>10</v>
      </c>
      <c r="E68" s="19" t="s">
        <v>10</v>
      </c>
      <c r="F68" s="9" t="s">
        <v>16</v>
      </c>
      <c r="G68" t="s">
        <v>13</v>
      </c>
      <c r="H68" t="s">
        <v>93</v>
      </c>
    </row>
    <row r="69" spans="1:8" x14ac:dyDescent="0.25">
      <c r="A69" s="18">
        <v>46126</v>
      </c>
      <c r="B69" s="4" t="s">
        <v>8</v>
      </c>
      <c r="C69" s="23">
        <v>10</v>
      </c>
      <c r="D69" s="2">
        <v>8</v>
      </c>
      <c r="E69" s="19" t="s">
        <v>10</v>
      </c>
      <c r="F69" s="9" t="s">
        <v>28</v>
      </c>
      <c r="G69" t="s">
        <v>18</v>
      </c>
      <c r="H69" t="s">
        <v>86</v>
      </c>
    </row>
    <row r="70" spans="1:8" x14ac:dyDescent="0.25">
      <c r="A70" s="18">
        <v>46126</v>
      </c>
      <c r="B70" s="4" t="s">
        <v>3</v>
      </c>
      <c r="C70" s="23">
        <v>10</v>
      </c>
      <c r="E70" s="19" t="s">
        <v>10</v>
      </c>
      <c r="F70" s="9" t="s">
        <v>11</v>
      </c>
      <c r="G70" t="s">
        <v>13</v>
      </c>
      <c r="H70" t="s">
        <v>94</v>
      </c>
    </row>
    <row r="71" spans="1:8" x14ac:dyDescent="0.25">
      <c r="A71" s="18">
        <v>46126</v>
      </c>
      <c r="B71" s="4" t="s">
        <v>3</v>
      </c>
      <c r="C71" s="23">
        <v>10</v>
      </c>
      <c r="D71" s="2">
        <v>8</v>
      </c>
      <c r="E71" s="19" t="s">
        <v>10</v>
      </c>
      <c r="F71" s="9" t="s">
        <v>11</v>
      </c>
      <c r="G71" t="s">
        <v>13</v>
      </c>
      <c r="H71" t="s">
        <v>75</v>
      </c>
    </row>
    <row r="72" spans="1:8" x14ac:dyDescent="0.25">
      <c r="A72" s="18">
        <v>46126</v>
      </c>
      <c r="B72" s="4" t="s">
        <v>6</v>
      </c>
      <c r="C72" s="23">
        <v>15</v>
      </c>
      <c r="D72" s="2">
        <v>8</v>
      </c>
      <c r="E72" s="19" t="s">
        <v>10</v>
      </c>
      <c r="F72" s="9" t="s">
        <v>11</v>
      </c>
      <c r="G72" t="s">
        <v>13</v>
      </c>
      <c r="H72" t="s">
        <v>95</v>
      </c>
    </row>
    <row r="73" spans="1:8" x14ac:dyDescent="0.25">
      <c r="A73" s="18">
        <v>46127</v>
      </c>
      <c r="B73" s="4" t="s">
        <v>8</v>
      </c>
      <c r="C73" s="23">
        <v>8</v>
      </c>
      <c r="E73" s="19" t="s">
        <v>10</v>
      </c>
      <c r="F73" s="9" t="s">
        <v>16</v>
      </c>
      <c r="G73" t="s">
        <v>13</v>
      </c>
      <c r="H73" t="s">
        <v>96</v>
      </c>
    </row>
    <row r="74" spans="1:8" x14ac:dyDescent="0.25">
      <c r="A74" s="18">
        <v>46127</v>
      </c>
      <c r="B74" s="4" t="s">
        <v>8</v>
      </c>
      <c r="C74" s="23">
        <v>8</v>
      </c>
      <c r="D74" s="2">
        <v>8</v>
      </c>
      <c r="E74" s="19" t="s">
        <v>10</v>
      </c>
      <c r="F74" s="9" t="s">
        <v>16</v>
      </c>
      <c r="G74" t="s">
        <v>13</v>
      </c>
      <c r="H74" t="s">
        <v>97</v>
      </c>
    </row>
    <row r="75" spans="1:8" x14ac:dyDescent="0.25">
      <c r="A75" s="18">
        <v>46127</v>
      </c>
      <c r="B75" s="4" t="s">
        <v>3</v>
      </c>
      <c r="C75" s="23">
        <v>15</v>
      </c>
      <c r="E75" s="19" t="s">
        <v>10</v>
      </c>
      <c r="F75" s="9" t="s">
        <v>17</v>
      </c>
      <c r="G75" t="s">
        <v>18</v>
      </c>
      <c r="H75" t="s">
        <v>98</v>
      </c>
    </row>
    <row r="76" spans="1:8" x14ac:dyDescent="0.25">
      <c r="A76" s="18">
        <v>46127</v>
      </c>
      <c r="B76" s="4" t="s">
        <v>3</v>
      </c>
      <c r="C76" s="23">
        <v>15</v>
      </c>
      <c r="E76" s="19" t="s">
        <v>10</v>
      </c>
      <c r="F76" s="9" t="s">
        <v>16</v>
      </c>
      <c r="G76" t="s">
        <v>13</v>
      </c>
      <c r="H76" t="s">
        <v>99</v>
      </c>
    </row>
    <row r="77" spans="1:8" x14ac:dyDescent="0.25">
      <c r="A77" s="18">
        <v>46127</v>
      </c>
      <c r="B77" s="4" t="s">
        <v>3</v>
      </c>
      <c r="C77" s="23">
        <v>10</v>
      </c>
      <c r="D77" s="2">
        <v>8</v>
      </c>
      <c r="E77" s="19" t="s">
        <v>4</v>
      </c>
      <c r="F77" s="9" t="s">
        <v>11</v>
      </c>
      <c r="G77" t="s">
        <v>7</v>
      </c>
      <c r="H77" t="s">
        <v>100</v>
      </c>
    </row>
    <row r="78" spans="1:8" x14ac:dyDescent="0.25">
      <c r="A78" s="18">
        <v>46127</v>
      </c>
      <c r="B78" s="4" t="s">
        <v>6</v>
      </c>
      <c r="C78" s="23">
        <v>0</v>
      </c>
      <c r="D78" s="2">
        <v>8</v>
      </c>
    </row>
    <row r="79" spans="1:8" x14ac:dyDescent="0.25">
      <c r="A79" s="18">
        <v>46128</v>
      </c>
      <c r="B79" s="4" t="s">
        <v>8</v>
      </c>
      <c r="C79" s="23">
        <v>10</v>
      </c>
      <c r="D79" s="2">
        <v>8</v>
      </c>
      <c r="E79" s="19" t="s">
        <v>10</v>
      </c>
      <c r="F79" s="9" t="s">
        <v>16</v>
      </c>
      <c r="G79" t="s">
        <v>13</v>
      </c>
      <c r="H79" t="s">
        <v>101</v>
      </c>
    </row>
    <row r="80" spans="1:8" x14ac:dyDescent="0.25">
      <c r="A80" s="18">
        <v>46128</v>
      </c>
      <c r="B80" s="4" t="s">
        <v>3</v>
      </c>
      <c r="C80" s="23">
        <v>15</v>
      </c>
      <c r="E80" s="19" t="s">
        <v>4</v>
      </c>
      <c r="F80" s="9" t="s">
        <v>11</v>
      </c>
      <c r="G80" t="s">
        <v>7</v>
      </c>
      <c r="H80" t="s">
        <v>102</v>
      </c>
    </row>
    <row r="81" spans="1:8" x14ac:dyDescent="0.25">
      <c r="A81" s="18">
        <v>46128</v>
      </c>
      <c r="B81" s="4" t="s">
        <v>3</v>
      </c>
      <c r="C81" s="23">
        <v>10</v>
      </c>
      <c r="D81" s="2">
        <v>8</v>
      </c>
      <c r="E81" s="19" t="s">
        <v>10</v>
      </c>
      <c r="F81" s="9" t="s">
        <v>11</v>
      </c>
      <c r="G81" t="s">
        <v>13</v>
      </c>
      <c r="H81" t="s">
        <v>103</v>
      </c>
    </row>
    <row r="82" spans="1:8" x14ac:dyDescent="0.25">
      <c r="A82" s="18">
        <v>46128</v>
      </c>
      <c r="B82" s="4" t="s">
        <v>6</v>
      </c>
      <c r="C82" s="23">
        <v>15</v>
      </c>
      <c r="D82" s="2">
        <v>8</v>
      </c>
      <c r="E82" s="19" t="s">
        <v>10</v>
      </c>
      <c r="F82" s="9" t="s">
        <v>11</v>
      </c>
      <c r="G82" t="s">
        <v>13</v>
      </c>
      <c r="H82" t="s">
        <v>104</v>
      </c>
    </row>
    <row r="83" spans="1:8" x14ac:dyDescent="0.25">
      <c r="A83" s="18">
        <v>46129</v>
      </c>
      <c r="B83" s="4" t="s">
        <v>8</v>
      </c>
      <c r="C83" s="23">
        <v>12</v>
      </c>
      <c r="D83" s="2">
        <v>8</v>
      </c>
      <c r="E83" s="19" t="s">
        <v>10</v>
      </c>
      <c r="F83" s="9" t="s">
        <v>16</v>
      </c>
      <c r="G83" t="s">
        <v>13</v>
      </c>
      <c r="H83" t="s">
        <v>105</v>
      </c>
    </row>
    <row r="84" spans="1:8" x14ac:dyDescent="0.25">
      <c r="A84" s="18">
        <v>46129</v>
      </c>
      <c r="B84" s="4" t="s">
        <v>3</v>
      </c>
      <c r="C84" s="23">
        <v>10</v>
      </c>
      <c r="E84" s="19" t="s">
        <v>10</v>
      </c>
      <c r="F84" s="9" t="s">
        <v>16</v>
      </c>
      <c r="G84" t="s">
        <v>13</v>
      </c>
      <c r="H84" t="s">
        <v>106</v>
      </c>
    </row>
    <row r="85" spans="1:8" x14ac:dyDescent="0.25">
      <c r="A85" s="18">
        <v>46129</v>
      </c>
      <c r="B85" s="4" t="s">
        <v>3</v>
      </c>
      <c r="C85" s="23">
        <v>10</v>
      </c>
      <c r="D85" s="2">
        <v>8</v>
      </c>
      <c r="E85" s="19" t="s">
        <v>10</v>
      </c>
      <c r="F85" s="9" t="s">
        <v>28</v>
      </c>
      <c r="G85" t="s">
        <v>18</v>
      </c>
      <c r="H85" t="s">
        <v>107</v>
      </c>
    </row>
    <row r="86" spans="1:8" x14ac:dyDescent="0.25">
      <c r="A86" s="18">
        <v>46129</v>
      </c>
      <c r="B86" s="4" t="s">
        <v>6</v>
      </c>
      <c r="C86" s="23">
        <v>15</v>
      </c>
      <c r="E86" s="19" t="s">
        <v>10</v>
      </c>
      <c r="F86" s="9" t="s">
        <v>16</v>
      </c>
      <c r="G86" t="s">
        <v>13</v>
      </c>
      <c r="H86" t="s">
        <v>108</v>
      </c>
    </row>
    <row r="87" spans="1:8" x14ac:dyDescent="0.25">
      <c r="A87" s="18">
        <v>46129</v>
      </c>
      <c r="B87" s="4" t="s">
        <v>6</v>
      </c>
      <c r="C87" s="23">
        <v>20</v>
      </c>
      <c r="D87" s="2">
        <v>8</v>
      </c>
      <c r="E87" s="19" t="s">
        <v>10</v>
      </c>
      <c r="F87" s="9" t="s">
        <v>11</v>
      </c>
      <c r="G87" t="s">
        <v>13</v>
      </c>
      <c r="H87" t="s">
        <v>109</v>
      </c>
    </row>
    <row r="88" spans="1:8" x14ac:dyDescent="0.25">
      <c r="A88" s="18">
        <v>46130</v>
      </c>
      <c r="B88" s="4" t="s">
        <v>8</v>
      </c>
      <c r="C88" s="23">
        <v>15</v>
      </c>
      <c r="E88" s="19" t="s">
        <v>10</v>
      </c>
      <c r="F88" s="9" t="s">
        <v>16</v>
      </c>
      <c r="G88" t="s">
        <v>13</v>
      </c>
      <c r="H88" t="s">
        <v>110</v>
      </c>
    </row>
    <row r="89" spans="1:8" x14ac:dyDescent="0.25">
      <c r="A89" s="18">
        <v>46130</v>
      </c>
      <c r="B89" s="4" t="s">
        <v>8</v>
      </c>
      <c r="C89" s="23">
        <v>15</v>
      </c>
      <c r="E89" s="19" t="s">
        <v>10</v>
      </c>
      <c r="F89" s="9" t="s">
        <v>11</v>
      </c>
      <c r="G89" t="s">
        <v>13</v>
      </c>
      <c r="H89" t="s">
        <v>75</v>
      </c>
    </row>
    <row r="90" spans="1:8" x14ac:dyDescent="0.25">
      <c r="A90" s="18">
        <v>46130</v>
      </c>
      <c r="B90" s="4" t="s">
        <v>8</v>
      </c>
      <c r="C90" s="23">
        <v>10</v>
      </c>
      <c r="E90" s="19" t="s">
        <v>10</v>
      </c>
      <c r="F90" s="9" t="s">
        <v>11</v>
      </c>
      <c r="G90" t="s">
        <v>13</v>
      </c>
      <c r="H90" t="s">
        <v>111</v>
      </c>
    </row>
    <row r="91" spans="1:8" x14ac:dyDescent="0.25">
      <c r="A91" s="18">
        <v>46130</v>
      </c>
      <c r="B91" s="4" t="s">
        <v>8</v>
      </c>
      <c r="C91" s="23">
        <v>10</v>
      </c>
      <c r="E91" s="19" t="s">
        <v>10</v>
      </c>
      <c r="F91" s="9" t="s">
        <v>11</v>
      </c>
      <c r="G91" t="s">
        <v>13</v>
      </c>
      <c r="H91" t="s">
        <v>111</v>
      </c>
    </row>
    <row r="92" spans="1:8" x14ac:dyDescent="0.25">
      <c r="A92" s="18">
        <v>46130</v>
      </c>
      <c r="B92" s="4" t="s">
        <v>8</v>
      </c>
      <c r="C92" s="23">
        <v>10</v>
      </c>
      <c r="D92" s="2">
        <v>8</v>
      </c>
      <c r="E92" t="s">
        <v>10</v>
      </c>
      <c r="F92" t="s">
        <v>11</v>
      </c>
      <c r="G92" s="9" t="s">
        <v>112</v>
      </c>
      <c r="H92" t="s">
        <v>113</v>
      </c>
    </row>
    <row r="93" spans="1:8" x14ac:dyDescent="0.25">
      <c r="A93" s="18">
        <v>46130</v>
      </c>
      <c r="B93" s="4" t="s">
        <v>3</v>
      </c>
      <c r="C93" s="23">
        <v>15</v>
      </c>
      <c r="E93" s="19" t="s">
        <v>10</v>
      </c>
      <c r="F93" s="9" t="s">
        <v>16</v>
      </c>
      <c r="G93" t="s">
        <v>13</v>
      </c>
      <c r="H93" t="s">
        <v>114</v>
      </c>
    </row>
    <row r="94" spans="1:8" x14ac:dyDescent="0.25">
      <c r="A94" s="18">
        <v>46130</v>
      </c>
      <c r="B94" s="4" t="s">
        <v>3</v>
      </c>
      <c r="C94" s="23">
        <v>15</v>
      </c>
      <c r="E94" s="19" t="s">
        <v>4</v>
      </c>
      <c r="F94" s="9" t="s">
        <v>11</v>
      </c>
      <c r="G94" t="s">
        <v>7</v>
      </c>
      <c r="H94" t="s">
        <v>115</v>
      </c>
    </row>
    <row r="95" spans="1:8" x14ac:dyDescent="0.25">
      <c r="A95" s="18">
        <v>46130</v>
      </c>
      <c r="B95" s="4" t="s">
        <v>3</v>
      </c>
      <c r="C95" s="23">
        <v>15</v>
      </c>
      <c r="D95" s="2">
        <v>8</v>
      </c>
      <c r="E95" s="19" t="s">
        <v>4</v>
      </c>
      <c r="F95" s="9" t="s">
        <v>21</v>
      </c>
      <c r="G95" t="s">
        <v>7</v>
      </c>
      <c r="H95" t="s">
        <v>116</v>
      </c>
    </row>
    <row r="96" spans="1:8" x14ac:dyDescent="0.25">
      <c r="A96" s="18">
        <v>46130</v>
      </c>
      <c r="B96" s="4" t="s">
        <v>6</v>
      </c>
      <c r="C96" s="23">
        <v>10</v>
      </c>
      <c r="D96" s="2">
        <v>8</v>
      </c>
      <c r="E96" s="19" t="s">
        <v>10</v>
      </c>
      <c r="F96" s="9" t="s">
        <v>11</v>
      </c>
      <c r="G96" t="s">
        <v>13</v>
      </c>
      <c r="H96" t="s">
        <v>75</v>
      </c>
    </row>
    <row r="97" spans="1:8" x14ac:dyDescent="0.25">
      <c r="A97" s="18">
        <v>46131</v>
      </c>
      <c r="B97" s="4" t="s">
        <v>8</v>
      </c>
      <c r="C97" s="23">
        <v>10</v>
      </c>
      <c r="E97" s="19" t="s">
        <v>10</v>
      </c>
      <c r="F97" s="9" t="s">
        <v>16</v>
      </c>
      <c r="G97" t="s">
        <v>13</v>
      </c>
      <c r="H97" t="s">
        <v>117</v>
      </c>
    </row>
    <row r="98" spans="1:8" x14ac:dyDescent="0.25">
      <c r="A98" s="18">
        <v>46131</v>
      </c>
      <c r="B98" s="4" t="s">
        <v>8</v>
      </c>
      <c r="C98" s="23">
        <v>5</v>
      </c>
      <c r="E98" s="19" t="s">
        <v>10</v>
      </c>
      <c r="F98" s="9" t="s">
        <v>16</v>
      </c>
      <c r="G98" t="s">
        <v>13</v>
      </c>
      <c r="H98" t="s">
        <v>118</v>
      </c>
    </row>
    <row r="99" spans="1:8" x14ac:dyDescent="0.25">
      <c r="A99" s="18">
        <v>46131</v>
      </c>
      <c r="B99" s="4" t="s">
        <v>8</v>
      </c>
      <c r="C99" s="23">
        <v>10</v>
      </c>
      <c r="D99" s="2">
        <v>8</v>
      </c>
      <c r="E99" s="19" t="s">
        <v>10</v>
      </c>
      <c r="F99" s="9" t="s">
        <v>24</v>
      </c>
      <c r="G99" t="s">
        <v>25</v>
      </c>
    </row>
    <row r="100" spans="1:8" x14ac:dyDescent="0.25">
      <c r="A100" s="18">
        <v>46132</v>
      </c>
      <c r="B100" s="4" t="s">
        <v>3</v>
      </c>
      <c r="C100" s="23">
        <v>120</v>
      </c>
      <c r="E100" s="19" t="s">
        <v>4</v>
      </c>
      <c r="F100" s="9" t="s">
        <v>31</v>
      </c>
      <c r="G100" t="s">
        <v>5</v>
      </c>
      <c r="H100" t="s">
        <v>119</v>
      </c>
    </row>
    <row r="101" spans="1:8" x14ac:dyDescent="0.25">
      <c r="A101" s="18">
        <v>46132</v>
      </c>
      <c r="B101" s="4" t="s">
        <v>3</v>
      </c>
      <c r="C101" s="23">
        <v>40</v>
      </c>
      <c r="D101" s="2">
        <v>8</v>
      </c>
      <c r="E101" s="19" t="s">
        <v>4</v>
      </c>
      <c r="F101" s="9" t="s">
        <v>11</v>
      </c>
      <c r="G101" t="s">
        <v>7</v>
      </c>
      <c r="H101" t="s">
        <v>120</v>
      </c>
    </row>
    <row r="102" spans="1:8" x14ac:dyDescent="0.25">
      <c r="A102" s="18">
        <v>46132</v>
      </c>
      <c r="B102" s="4" t="s">
        <v>6</v>
      </c>
      <c r="C102" s="23">
        <v>15</v>
      </c>
      <c r="E102" s="19" t="s">
        <v>10</v>
      </c>
      <c r="F102" s="9" t="s">
        <v>16</v>
      </c>
      <c r="G102" t="s">
        <v>13</v>
      </c>
      <c r="H102" t="s">
        <v>121</v>
      </c>
    </row>
    <row r="103" spans="1:8" x14ac:dyDescent="0.25">
      <c r="A103" s="18">
        <v>46132</v>
      </c>
      <c r="B103" s="4" t="s">
        <v>6</v>
      </c>
      <c r="C103" s="23">
        <v>15</v>
      </c>
      <c r="D103" s="2">
        <v>8</v>
      </c>
      <c r="E103" s="19" t="s">
        <v>4</v>
      </c>
      <c r="F103" s="9" t="s">
        <v>11</v>
      </c>
      <c r="G103" t="s">
        <v>7</v>
      </c>
      <c r="H103" t="s">
        <v>122</v>
      </c>
    </row>
    <row r="104" spans="1:8" x14ac:dyDescent="0.25">
      <c r="A104" s="18">
        <v>46132</v>
      </c>
      <c r="B104" s="4" t="s">
        <v>8</v>
      </c>
      <c r="C104" s="23">
        <v>15</v>
      </c>
      <c r="D104" s="2">
        <v>8</v>
      </c>
      <c r="E104" s="19" t="s">
        <v>10</v>
      </c>
      <c r="F104" s="9" t="s">
        <v>11</v>
      </c>
      <c r="G104" t="s">
        <v>13</v>
      </c>
      <c r="H104" t="s">
        <v>75</v>
      </c>
    </row>
    <row r="105" spans="1:8" x14ac:dyDescent="0.25">
      <c r="A105" s="18">
        <v>46133</v>
      </c>
      <c r="B105" s="4" t="s">
        <v>3</v>
      </c>
      <c r="C105" s="23">
        <v>10</v>
      </c>
      <c r="D105" s="2">
        <v>8</v>
      </c>
      <c r="E105" s="19" t="s">
        <v>10</v>
      </c>
      <c r="F105" s="9" t="s">
        <v>11</v>
      </c>
      <c r="G105" t="s">
        <v>13</v>
      </c>
      <c r="H105" t="s">
        <v>85</v>
      </c>
    </row>
    <row r="106" spans="1:8" x14ac:dyDescent="0.25">
      <c r="A106" s="18">
        <v>46133</v>
      </c>
      <c r="B106" s="4" t="s">
        <v>6</v>
      </c>
      <c r="C106" s="23">
        <v>15</v>
      </c>
      <c r="E106" s="19" t="s">
        <v>10</v>
      </c>
      <c r="F106" s="9" t="s">
        <v>21</v>
      </c>
      <c r="G106" t="s">
        <v>18</v>
      </c>
      <c r="H106" t="s">
        <v>123</v>
      </c>
    </row>
    <row r="107" spans="1:8" x14ac:dyDescent="0.25">
      <c r="A107" s="18">
        <v>46133</v>
      </c>
      <c r="B107" s="4" t="s">
        <v>6</v>
      </c>
      <c r="C107" s="23">
        <v>10</v>
      </c>
      <c r="E107" s="19" t="s">
        <v>33</v>
      </c>
      <c r="F107" s="9" t="s">
        <v>11</v>
      </c>
      <c r="G107" t="s">
        <v>34</v>
      </c>
      <c r="H107" t="s">
        <v>124</v>
      </c>
    </row>
    <row r="108" spans="1:8" x14ac:dyDescent="0.25">
      <c r="A108" s="18">
        <v>46133</v>
      </c>
      <c r="B108" s="4" t="s">
        <v>6</v>
      </c>
      <c r="C108" s="23">
        <v>15</v>
      </c>
      <c r="D108" s="2">
        <v>8</v>
      </c>
      <c r="E108" s="19" t="s">
        <v>4</v>
      </c>
      <c r="F108" s="9" t="s">
        <v>31</v>
      </c>
      <c r="G108" t="s">
        <v>7</v>
      </c>
      <c r="H108" t="s">
        <v>125</v>
      </c>
    </row>
    <row r="109" spans="1:8" x14ac:dyDescent="0.25">
      <c r="A109" s="18">
        <v>46133</v>
      </c>
      <c r="B109" s="4" t="s">
        <v>8</v>
      </c>
      <c r="C109" s="23">
        <v>10</v>
      </c>
      <c r="E109" s="19" t="s">
        <v>10</v>
      </c>
      <c r="F109" s="9" t="s">
        <v>16</v>
      </c>
      <c r="G109" t="s">
        <v>13</v>
      </c>
      <c r="H109" t="s">
        <v>126</v>
      </c>
    </row>
    <row r="110" spans="1:8" x14ac:dyDescent="0.25">
      <c r="A110" s="18">
        <v>46133</v>
      </c>
      <c r="B110" s="4" t="s">
        <v>8</v>
      </c>
      <c r="C110" s="23">
        <v>10</v>
      </c>
      <c r="D110" s="2">
        <v>8</v>
      </c>
      <c r="E110" s="19" t="s">
        <v>10</v>
      </c>
      <c r="F110" s="9" t="s">
        <v>16</v>
      </c>
      <c r="G110" t="s">
        <v>13</v>
      </c>
      <c r="H110" t="s">
        <v>127</v>
      </c>
    </row>
    <row r="111" spans="1:8" x14ac:dyDescent="0.25">
      <c r="A111" s="18">
        <v>46134</v>
      </c>
      <c r="B111" s="4" t="s">
        <v>3</v>
      </c>
      <c r="C111" s="23">
        <v>10</v>
      </c>
      <c r="E111" s="19" t="s">
        <v>10</v>
      </c>
      <c r="F111" s="9" t="s">
        <v>28</v>
      </c>
      <c r="G111" t="s">
        <v>18</v>
      </c>
      <c r="H111" t="s">
        <v>128</v>
      </c>
    </row>
    <row r="112" spans="1:8" x14ac:dyDescent="0.25">
      <c r="A112" s="18">
        <v>46134</v>
      </c>
      <c r="B112" s="4" t="s">
        <v>3</v>
      </c>
      <c r="C112" s="23">
        <v>75</v>
      </c>
      <c r="D112" s="2">
        <v>8</v>
      </c>
      <c r="E112" s="19" t="s">
        <v>4</v>
      </c>
      <c r="F112" s="9" t="s">
        <v>11</v>
      </c>
      <c r="G112" t="s">
        <v>9</v>
      </c>
      <c r="H112" t="s">
        <v>129</v>
      </c>
    </row>
    <row r="113" spans="1:8" x14ac:dyDescent="0.25">
      <c r="A113" s="18">
        <v>46134</v>
      </c>
      <c r="B113" s="4" t="s">
        <v>6</v>
      </c>
      <c r="C113" s="23">
        <v>10</v>
      </c>
      <c r="D113" s="2">
        <v>8</v>
      </c>
      <c r="E113" s="19" t="s">
        <v>10</v>
      </c>
      <c r="F113" s="9" t="s">
        <v>11</v>
      </c>
      <c r="G113" t="s">
        <v>13</v>
      </c>
      <c r="H113" t="s">
        <v>75</v>
      </c>
    </row>
    <row r="114" spans="1:8" x14ac:dyDescent="0.25">
      <c r="A114" s="18">
        <v>46134</v>
      </c>
      <c r="B114" s="4" t="s">
        <v>8</v>
      </c>
      <c r="C114" s="23">
        <v>120</v>
      </c>
      <c r="D114" s="2">
        <v>8</v>
      </c>
      <c r="E114" s="19" t="s">
        <v>10</v>
      </c>
      <c r="F114" s="9" t="s">
        <v>28</v>
      </c>
      <c r="G114" t="s">
        <v>18</v>
      </c>
      <c r="H114" t="s">
        <v>130</v>
      </c>
    </row>
    <row r="115" spans="1:8" x14ac:dyDescent="0.25">
      <c r="A115" s="18">
        <v>46135</v>
      </c>
      <c r="B115" s="4" t="s">
        <v>3</v>
      </c>
      <c r="C115" s="23">
        <v>30</v>
      </c>
      <c r="E115" s="19" t="s">
        <v>10</v>
      </c>
      <c r="F115" s="9" t="s">
        <v>28</v>
      </c>
      <c r="G115" t="s">
        <v>18</v>
      </c>
      <c r="H115" t="s">
        <v>131</v>
      </c>
    </row>
    <row r="116" spans="1:8" x14ac:dyDescent="0.25">
      <c r="A116" s="18">
        <v>46135</v>
      </c>
      <c r="B116" s="4" t="s">
        <v>3</v>
      </c>
      <c r="C116" s="23">
        <v>10</v>
      </c>
      <c r="D116" s="2">
        <v>8</v>
      </c>
      <c r="E116" s="19" t="s">
        <v>10</v>
      </c>
      <c r="F116" s="9" t="s">
        <v>11</v>
      </c>
      <c r="G116" t="s">
        <v>13</v>
      </c>
    </row>
    <row r="117" spans="1:8" x14ac:dyDescent="0.25">
      <c r="A117" s="18">
        <v>46135</v>
      </c>
      <c r="B117" s="4" t="s">
        <v>6</v>
      </c>
      <c r="C117" s="23">
        <f>180+45</f>
        <v>225</v>
      </c>
      <c r="E117" s="19" t="s">
        <v>4</v>
      </c>
      <c r="F117" s="9" t="s">
        <v>23</v>
      </c>
      <c r="G117" t="s">
        <v>7</v>
      </c>
      <c r="H117" t="s">
        <v>132</v>
      </c>
    </row>
    <row r="118" spans="1:8" x14ac:dyDescent="0.25">
      <c r="A118" s="18">
        <v>46135</v>
      </c>
      <c r="B118" s="4" t="s">
        <v>6</v>
      </c>
      <c r="C118" s="23">
        <v>10</v>
      </c>
      <c r="D118" s="2">
        <v>8</v>
      </c>
      <c r="E118" s="19" t="s">
        <v>10</v>
      </c>
      <c r="F118" s="9" t="s">
        <v>16</v>
      </c>
      <c r="G118" t="s">
        <v>13</v>
      </c>
      <c r="H118" t="s">
        <v>133</v>
      </c>
    </row>
    <row r="119" spans="1:8" x14ac:dyDescent="0.25">
      <c r="A119" s="18">
        <v>46135</v>
      </c>
      <c r="B119" s="4" t="s">
        <v>8</v>
      </c>
      <c r="C119" s="23">
        <v>20</v>
      </c>
      <c r="D119" s="2">
        <v>8</v>
      </c>
      <c r="E119" s="19" t="s">
        <v>10</v>
      </c>
      <c r="F119" s="9" t="s">
        <v>11</v>
      </c>
      <c r="G119" t="s">
        <v>13</v>
      </c>
    </row>
    <row r="120" spans="1:8" x14ac:dyDescent="0.25">
      <c r="A120" s="18">
        <v>46136</v>
      </c>
      <c r="B120" s="4" t="s">
        <v>3</v>
      </c>
      <c r="C120" s="23">
        <v>10</v>
      </c>
      <c r="E120" s="19" t="s">
        <v>10</v>
      </c>
      <c r="F120" s="9" t="s">
        <v>16</v>
      </c>
      <c r="G120" t="s">
        <v>13</v>
      </c>
      <c r="H120" t="s">
        <v>134</v>
      </c>
    </row>
    <row r="121" spans="1:8" x14ac:dyDescent="0.25">
      <c r="A121" s="18">
        <v>46136</v>
      </c>
      <c r="B121" s="4" t="s">
        <v>3</v>
      </c>
      <c r="C121" s="23">
        <v>10</v>
      </c>
      <c r="D121" s="2">
        <v>8</v>
      </c>
      <c r="E121" s="19" t="s">
        <v>10</v>
      </c>
      <c r="F121" s="9" t="s">
        <v>11</v>
      </c>
      <c r="G121" t="s">
        <v>13</v>
      </c>
      <c r="H121" t="s">
        <v>135</v>
      </c>
    </row>
    <row r="122" spans="1:8" x14ac:dyDescent="0.25">
      <c r="A122" s="18">
        <v>46136</v>
      </c>
      <c r="B122" s="4" t="s">
        <v>6</v>
      </c>
      <c r="C122" s="23">
        <v>10</v>
      </c>
      <c r="E122" s="19" t="s">
        <v>10</v>
      </c>
      <c r="F122" s="9" t="s">
        <v>11</v>
      </c>
      <c r="G122" t="s">
        <v>13</v>
      </c>
      <c r="H122" t="s">
        <v>75</v>
      </c>
    </row>
    <row r="123" spans="1:8" x14ac:dyDescent="0.25">
      <c r="A123" s="18">
        <v>46136</v>
      </c>
      <c r="B123" s="4" t="s">
        <v>6</v>
      </c>
      <c r="C123" s="23">
        <v>10</v>
      </c>
      <c r="D123" s="2">
        <v>8</v>
      </c>
      <c r="E123" s="19" t="s">
        <v>10</v>
      </c>
      <c r="F123" s="9" t="s">
        <v>24</v>
      </c>
      <c r="G123" t="s">
        <v>18</v>
      </c>
      <c r="H123" t="s">
        <v>136</v>
      </c>
    </row>
    <row r="124" spans="1:8" x14ac:dyDescent="0.25">
      <c r="A124" s="18">
        <v>46136</v>
      </c>
      <c r="B124" s="4" t="s">
        <v>8</v>
      </c>
      <c r="C124" s="23">
        <v>10</v>
      </c>
      <c r="E124" s="19" t="s">
        <v>10</v>
      </c>
      <c r="F124" s="9" t="s">
        <v>11</v>
      </c>
      <c r="G124" t="s">
        <v>13</v>
      </c>
      <c r="H124" t="s">
        <v>75</v>
      </c>
    </row>
    <row r="125" spans="1:8" x14ac:dyDescent="0.25">
      <c r="A125" s="18">
        <v>46136</v>
      </c>
      <c r="B125" s="4" t="s">
        <v>8</v>
      </c>
      <c r="C125" s="23">
        <v>10</v>
      </c>
      <c r="D125" s="2">
        <v>8</v>
      </c>
      <c r="E125" s="19" t="s">
        <v>10</v>
      </c>
      <c r="F125" s="9" t="s">
        <v>16</v>
      </c>
      <c r="G125" t="s">
        <v>13</v>
      </c>
      <c r="H125" t="s">
        <v>137</v>
      </c>
    </row>
    <row r="126" spans="1:8" x14ac:dyDescent="0.25">
      <c r="A126" s="18">
        <v>46137</v>
      </c>
      <c r="B126" s="4" t="s">
        <v>3</v>
      </c>
      <c r="C126" s="23">
        <v>25</v>
      </c>
      <c r="E126" s="19" t="s">
        <v>4</v>
      </c>
      <c r="F126" s="9" t="s">
        <v>138</v>
      </c>
      <c r="G126" t="s">
        <v>7</v>
      </c>
      <c r="H126" t="s">
        <v>139</v>
      </c>
    </row>
    <row r="127" spans="1:8" x14ac:dyDescent="0.25">
      <c r="A127" s="18">
        <v>46137</v>
      </c>
      <c r="B127" s="4" t="s">
        <v>3</v>
      </c>
      <c r="C127" s="23">
        <v>10</v>
      </c>
      <c r="E127" s="19" t="s">
        <v>10</v>
      </c>
      <c r="F127" s="9" t="s">
        <v>16</v>
      </c>
      <c r="G127" t="s">
        <v>13</v>
      </c>
      <c r="H127" t="s">
        <v>140</v>
      </c>
    </row>
    <row r="128" spans="1:8" x14ac:dyDescent="0.25">
      <c r="A128" s="18">
        <v>46137</v>
      </c>
      <c r="B128" s="4" t="s">
        <v>3</v>
      </c>
      <c r="C128" s="23">
        <v>30</v>
      </c>
      <c r="D128" s="2">
        <v>8</v>
      </c>
      <c r="E128" s="19" t="s">
        <v>4</v>
      </c>
      <c r="F128" s="9" t="s">
        <v>29</v>
      </c>
      <c r="G128" t="s">
        <v>9</v>
      </c>
      <c r="H128" t="s">
        <v>141</v>
      </c>
    </row>
    <row r="129" spans="1:8" x14ac:dyDescent="0.25">
      <c r="A129" s="18">
        <v>46137</v>
      </c>
      <c r="B129" s="4" t="s">
        <v>6</v>
      </c>
      <c r="C129" s="23">
        <v>0</v>
      </c>
      <c r="D129" s="2">
        <v>8</v>
      </c>
    </row>
    <row r="130" spans="1:8" x14ac:dyDescent="0.25">
      <c r="A130" s="18">
        <v>46137</v>
      </c>
      <c r="B130" s="4" t="s">
        <v>8</v>
      </c>
      <c r="C130" s="23">
        <f>180+45</f>
        <v>225</v>
      </c>
      <c r="D130" s="2">
        <v>8</v>
      </c>
      <c r="E130" s="19" t="s">
        <v>4</v>
      </c>
      <c r="F130" s="9" t="s">
        <v>31</v>
      </c>
      <c r="G130" t="s">
        <v>7</v>
      </c>
      <c r="H130" t="s">
        <v>142</v>
      </c>
    </row>
    <row r="131" spans="1:8" x14ac:dyDescent="0.25">
      <c r="A131" s="18">
        <v>46138</v>
      </c>
      <c r="B131" s="4" t="s">
        <v>6</v>
      </c>
      <c r="C131" s="23">
        <f>60+45</f>
        <v>105</v>
      </c>
      <c r="D131" s="2">
        <v>8</v>
      </c>
      <c r="E131" s="19" t="s">
        <v>4</v>
      </c>
      <c r="F131" s="9" t="s">
        <v>31</v>
      </c>
      <c r="G131" t="s">
        <v>7</v>
      </c>
      <c r="H131" t="s">
        <v>143</v>
      </c>
    </row>
    <row r="132" spans="1:8" x14ac:dyDescent="0.25">
      <c r="A132" s="18">
        <v>46138</v>
      </c>
      <c r="B132" s="4" t="s">
        <v>3</v>
      </c>
      <c r="C132" s="23">
        <v>5</v>
      </c>
      <c r="E132" s="19" t="s">
        <v>10</v>
      </c>
      <c r="F132" s="9" t="s">
        <v>11</v>
      </c>
      <c r="G132" t="s">
        <v>13</v>
      </c>
      <c r="H132" t="s">
        <v>103</v>
      </c>
    </row>
    <row r="133" spans="1:8" x14ac:dyDescent="0.25">
      <c r="A133" s="18">
        <v>46138</v>
      </c>
      <c r="B133" s="4" t="s">
        <v>3</v>
      </c>
      <c r="C133" s="23">
        <v>35</v>
      </c>
      <c r="D133" s="2">
        <v>8</v>
      </c>
      <c r="E133" s="19" t="s">
        <v>10</v>
      </c>
      <c r="F133" s="9" t="s">
        <v>28</v>
      </c>
      <c r="G133" t="s">
        <v>18</v>
      </c>
      <c r="H133" t="s">
        <v>144</v>
      </c>
    </row>
    <row r="134" spans="1:8" x14ac:dyDescent="0.25">
      <c r="A134" s="18">
        <v>46139</v>
      </c>
      <c r="B134" s="4" t="s">
        <v>6</v>
      </c>
      <c r="C134" s="23">
        <v>60</v>
      </c>
      <c r="E134" s="19" t="s">
        <v>33</v>
      </c>
      <c r="F134" s="9" t="s">
        <v>11</v>
      </c>
      <c r="G134" t="s">
        <v>34</v>
      </c>
      <c r="H134" t="s">
        <v>145</v>
      </c>
    </row>
    <row r="135" spans="1:8" x14ac:dyDescent="0.25">
      <c r="A135" s="18">
        <v>46139</v>
      </c>
      <c r="B135" s="4" t="s">
        <v>6</v>
      </c>
      <c r="C135" s="23">
        <v>40</v>
      </c>
      <c r="D135" s="2">
        <v>8</v>
      </c>
      <c r="E135" s="19" t="s">
        <v>10</v>
      </c>
      <c r="F135" s="9" t="s">
        <v>28</v>
      </c>
      <c r="G135" t="s">
        <v>18</v>
      </c>
      <c r="H135" t="s">
        <v>146</v>
      </c>
    </row>
    <row r="136" spans="1:8" x14ac:dyDescent="0.25">
      <c r="A136" s="18">
        <v>46139</v>
      </c>
      <c r="B136" s="4" t="s">
        <v>8</v>
      </c>
      <c r="C136" s="23">
        <v>90</v>
      </c>
      <c r="E136" s="19" t="s">
        <v>10</v>
      </c>
      <c r="F136" s="9" t="s">
        <v>28</v>
      </c>
      <c r="G136" t="s">
        <v>18</v>
      </c>
      <c r="H136" t="s">
        <v>147</v>
      </c>
    </row>
    <row r="137" spans="1:8" x14ac:dyDescent="0.25">
      <c r="A137" s="18">
        <v>46139</v>
      </c>
      <c r="B137" s="4" t="s">
        <v>8</v>
      </c>
      <c r="C137" s="23">
        <v>30</v>
      </c>
      <c r="D137" s="2">
        <v>8</v>
      </c>
      <c r="E137" s="19" t="s">
        <v>33</v>
      </c>
      <c r="F137" s="9" t="s">
        <v>11</v>
      </c>
      <c r="G137" t="s">
        <v>34</v>
      </c>
      <c r="H137" t="s">
        <v>83</v>
      </c>
    </row>
    <row r="138" spans="1:8" x14ac:dyDescent="0.25">
      <c r="A138" s="18">
        <v>46139</v>
      </c>
      <c r="B138" s="4" t="s">
        <v>3</v>
      </c>
      <c r="C138" s="23">
        <v>15</v>
      </c>
      <c r="E138" s="19" t="s">
        <v>10</v>
      </c>
      <c r="F138" s="9" t="s">
        <v>28</v>
      </c>
      <c r="G138" t="s">
        <v>18</v>
      </c>
    </row>
    <row r="139" spans="1:8" x14ac:dyDescent="0.25">
      <c r="A139" s="18">
        <v>46139</v>
      </c>
      <c r="B139" s="4" t="s">
        <v>3</v>
      </c>
      <c r="C139" s="23">
        <v>20</v>
      </c>
      <c r="D139" s="2">
        <v>8</v>
      </c>
      <c r="E139" s="19" t="s">
        <v>10</v>
      </c>
      <c r="F139" s="9" t="s">
        <v>16</v>
      </c>
      <c r="G139" t="s">
        <v>13</v>
      </c>
      <c r="H139" t="s">
        <v>148</v>
      </c>
    </row>
    <row r="140" spans="1:8" x14ac:dyDescent="0.25">
      <c r="A140" s="18">
        <v>46140</v>
      </c>
      <c r="B140" s="4" t="s">
        <v>6</v>
      </c>
      <c r="C140" s="23">
        <v>15</v>
      </c>
      <c r="E140" s="19" t="s">
        <v>10</v>
      </c>
      <c r="F140" s="9" t="s">
        <v>16</v>
      </c>
      <c r="G140" t="s">
        <v>13</v>
      </c>
      <c r="H140" t="s">
        <v>149</v>
      </c>
    </row>
    <row r="141" spans="1:8" x14ac:dyDescent="0.25">
      <c r="A141" s="18">
        <v>46140</v>
      </c>
      <c r="B141" s="4" t="s">
        <v>6</v>
      </c>
      <c r="C141" s="23">
        <v>15</v>
      </c>
      <c r="E141" s="19" t="s">
        <v>10</v>
      </c>
      <c r="F141" s="9" t="s">
        <v>16</v>
      </c>
      <c r="G141" t="s">
        <v>13</v>
      </c>
      <c r="H141" t="s">
        <v>150</v>
      </c>
    </row>
    <row r="142" spans="1:8" x14ac:dyDescent="0.25">
      <c r="A142" s="18">
        <v>46140</v>
      </c>
      <c r="B142" s="4" t="s">
        <v>6</v>
      </c>
      <c r="C142" s="23">
        <v>10</v>
      </c>
      <c r="D142" s="2">
        <v>8</v>
      </c>
      <c r="E142" s="19" t="s">
        <v>10</v>
      </c>
      <c r="F142" s="9" t="s">
        <v>29</v>
      </c>
      <c r="G142" t="s">
        <v>18</v>
      </c>
      <c r="H142" t="s">
        <v>151</v>
      </c>
    </row>
    <row r="143" spans="1:8" x14ac:dyDescent="0.25">
      <c r="A143" s="18">
        <v>46140</v>
      </c>
      <c r="B143" s="4" t="s">
        <v>8</v>
      </c>
      <c r="C143" s="23">
        <v>15</v>
      </c>
      <c r="E143" s="19" t="s">
        <v>10</v>
      </c>
      <c r="F143" s="9" t="s">
        <v>24</v>
      </c>
      <c r="G143" s="7" t="s">
        <v>25</v>
      </c>
    </row>
    <row r="144" spans="1:8" x14ac:dyDescent="0.25">
      <c r="A144" s="18">
        <v>46140</v>
      </c>
      <c r="B144" s="4" t="s">
        <v>8</v>
      </c>
      <c r="C144" s="23">
        <v>25</v>
      </c>
      <c r="E144" t="s">
        <v>33</v>
      </c>
      <c r="F144" t="s">
        <v>11</v>
      </c>
      <c r="G144" s="6" t="s">
        <v>34</v>
      </c>
      <c r="H144" t="s">
        <v>152</v>
      </c>
    </row>
    <row r="145" spans="1:8" x14ac:dyDescent="0.25">
      <c r="A145" s="18">
        <v>46140</v>
      </c>
      <c r="B145" s="4" t="s">
        <v>8</v>
      </c>
      <c r="C145" s="23">
        <v>10</v>
      </c>
      <c r="E145" s="19" t="s">
        <v>10</v>
      </c>
      <c r="F145" s="9" t="s">
        <v>11</v>
      </c>
      <c r="G145" t="s">
        <v>13</v>
      </c>
      <c r="H145" t="s">
        <v>84</v>
      </c>
    </row>
    <row r="146" spans="1:8" x14ac:dyDescent="0.25">
      <c r="A146" s="18">
        <v>46140</v>
      </c>
      <c r="B146" s="4" t="s">
        <v>8</v>
      </c>
      <c r="C146" s="23">
        <v>15</v>
      </c>
      <c r="D146" s="2">
        <v>8</v>
      </c>
      <c r="E146" s="19" t="s">
        <v>10</v>
      </c>
      <c r="F146" s="9" t="s">
        <v>11</v>
      </c>
      <c r="G146" t="s">
        <v>13</v>
      </c>
      <c r="H146" t="s">
        <v>90</v>
      </c>
    </row>
    <row r="147" spans="1:8" x14ac:dyDescent="0.25">
      <c r="A147" s="18">
        <v>46140</v>
      </c>
      <c r="B147" s="4" t="s">
        <v>3</v>
      </c>
      <c r="C147" s="23">
        <v>10</v>
      </c>
      <c r="D147" s="2">
        <v>8</v>
      </c>
      <c r="E147" s="19" t="s">
        <v>10</v>
      </c>
      <c r="F147" s="9" t="s">
        <v>16</v>
      </c>
      <c r="G147" t="s">
        <v>13</v>
      </c>
      <c r="H147" t="s">
        <v>153</v>
      </c>
    </row>
    <row r="148" spans="1:8" x14ac:dyDescent="0.25">
      <c r="A148" s="18">
        <v>46141</v>
      </c>
      <c r="B148" s="4" t="s">
        <v>6</v>
      </c>
      <c r="C148" s="23">
        <v>15</v>
      </c>
      <c r="E148" s="19" t="s">
        <v>10</v>
      </c>
      <c r="F148" s="9" t="s">
        <v>16</v>
      </c>
      <c r="G148" t="s">
        <v>13</v>
      </c>
      <c r="H148" t="s">
        <v>154</v>
      </c>
    </row>
    <row r="149" spans="1:8" x14ac:dyDescent="0.25">
      <c r="A149" s="18">
        <v>46141</v>
      </c>
      <c r="B149" s="4" t="s">
        <v>6</v>
      </c>
      <c r="C149" s="23">
        <v>30</v>
      </c>
      <c r="E149" s="19" t="s">
        <v>10</v>
      </c>
      <c r="F149" s="9" t="s">
        <v>29</v>
      </c>
      <c r="G149" t="s">
        <v>18</v>
      </c>
      <c r="H149" t="s">
        <v>155</v>
      </c>
    </row>
    <row r="150" spans="1:8" x14ac:dyDescent="0.25">
      <c r="A150" s="18">
        <v>46141</v>
      </c>
      <c r="B150" s="4" t="s">
        <v>6</v>
      </c>
      <c r="C150" s="23">
        <v>15</v>
      </c>
      <c r="E150" s="19" t="s">
        <v>10</v>
      </c>
      <c r="F150" s="9" t="s">
        <v>16</v>
      </c>
      <c r="G150" t="s">
        <v>13</v>
      </c>
      <c r="H150" t="s">
        <v>156</v>
      </c>
    </row>
    <row r="151" spans="1:8" x14ac:dyDescent="0.25">
      <c r="A151" s="18">
        <v>46141</v>
      </c>
      <c r="B151" s="4" t="s">
        <v>6</v>
      </c>
      <c r="C151" s="23">
        <v>70</v>
      </c>
      <c r="E151" s="19" t="s">
        <v>4</v>
      </c>
      <c r="F151" s="9" t="s">
        <v>24</v>
      </c>
      <c r="G151" t="s">
        <v>9</v>
      </c>
      <c r="H151" t="s">
        <v>157</v>
      </c>
    </row>
    <row r="152" spans="1:8" x14ac:dyDescent="0.25">
      <c r="A152" s="18">
        <v>46141</v>
      </c>
      <c r="B152" s="4" t="s">
        <v>6</v>
      </c>
      <c r="C152" s="23">
        <v>40</v>
      </c>
      <c r="D152" s="2">
        <v>8</v>
      </c>
      <c r="E152" s="19" t="s">
        <v>33</v>
      </c>
      <c r="F152" s="9" t="s">
        <v>11</v>
      </c>
      <c r="G152" t="s">
        <v>34</v>
      </c>
      <c r="H152" t="s">
        <v>158</v>
      </c>
    </row>
    <row r="153" spans="1:8" x14ac:dyDescent="0.25">
      <c r="A153" s="18">
        <v>46141</v>
      </c>
      <c r="B153" s="4" t="s">
        <v>8</v>
      </c>
      <c r="C153" s="23">
        <v>15</v>
      </c>
      <c r="E153" s="19" t="s">
        <v>33</v>
      </c>
      <c r="F153" s="9" t="s">
        <v>11</v>
      </c>
      <c r="G153" t="s">
        <v>34</v>
      </c>
      <c r="H153" t="s">
        <v>158</v>
      </c>
    </row>
    <row r="154" spans="1:8" x14ac:dyDescent="0.25">
      <c r="A154" s="18">
        <v>46141</v>
      </c>
      <c r="B154" s="4" t="s">
        <v>8</v>
      </c>
      <c r="C154" s="23">
        <v>15</v>
      </c>
      <c r="D154" s="2">
        <v>8</v>
      </c>
      <c r="E154" s="19" t="s">
        <v>10</v>
      </c>
      <c r="F154" s="9" t="s">
        <v>29</v>
      </c>
      <c r="G154" t="s">
        <v>18</v>
      </c>
      <c r="H154" t="s">
        <v>159</v>
      </c>
    </row>
    <row r="155" spans="1:8" x14ac:dyDescent="0.25">
      <c r="A155" s="18">
        <v>46141</v>
      </c>
      <c r="B155" s="4" t="s">
        <v>3</v>
      </c>
      <c r="C155" s="23">
        <v>10</v>
      </c>
      <c r="E155" s="19" t="s">
        <v>10</v>
      </c>
      <c r="F155" s="9" t="s">
        <v>11</v>
      </c>
      <c r="G155" t="s">
        <v>13</v>
      </c>
      <c r="H155" t="s">
        <v>160</v>
      </c>
    </row>
    <row r="156" spans="1:8" x14ac:dyDescent="0.25">
      <c r="A156" s="18">
        <v>46141</v>
      </c>
      <c r="B156" s="4" t="s">
        <v>3</v>
      </c>
      <c r="C156" s="23">
        <v>10</v>
      </c>
      <c r="D156" s="2">
        <v>8</v>
      </c>
      <c r="E156" s="19" t="s">
        <v>10</v>
      </c>
      <c r="F156" s="9" t="s">
        <v>11</v>
      </c>
      <c r="G156" t="s">
        <v>13</v>
      </c>
      <c r="H156" t="s">
        <v>75</v>
      </c>
    </row>
    <row r="157" spans="1:8" x14ac:dyDescent="0.25">
      <c r="A157" s="18">
        <v>46142</v>
      </c>
      <c r="B157" s="4" t="s">
        <v>6</v>
      </c>
      <c r="C157" s="23">
        <v>0</v>
      </c>
      <c r="D157" s="2">
        <v>8</v>
      </c>
    </row>
    <row r="158" spans="1:8" x14ac:dyDescent="0.25">
      <c r="A158" s="18">
        <v>46142</v>
      </c>
      <c r="B158" s="4" t="s">
        <v>8</v>
      </c>
      <c r="C158" s="23">
        <v>30</v>
      </c>
      <c r="E158" s="19" t="s">
        <v>4</v>
      </c>
      <c r="F158" s="9" t="s">
        <v>24</v>
      </c>
      <c r="G158" t="s">
        <v>9</v>
      </c>
      <c r="H158" t="s">
        <v>441</v>
      </c>
    </row>
    <row r="159" spans="1:8" x14ac:dyDescent="0.25">
      <c r="A159" s="18">
        <v>46142</v>
      </c>
      <c r="B159" s="4" t="s">
        <v>8</v>
      </c>
      <c r="C159" s="23">
        <v>10</v>
      </c>
      <c r="D159" s="2">
        <v>8</v>
      </c>
      <c r="E159" s="19" t="s">
        <v>10</v>
      </c>
      <c r="F159" s="9" t="s">
        <v>11</v>
      </c>
      <c r="G159" t="s">
        <v>13</v>
      </c>
    </row>
    <row r="160" spans="1:8" x14ac:dyDescent="0.25">
      <c r="A160" s="18">
        <v>46142</v>
      </c>
      <c r="B160" s="4" t="s">
        <v>3</v>
      </c>
      <c r="C160" s="23">
        <v>10</v>
      </c>
      <c r="E160" s="19" t="s">
        <v>10</v>
      </c>
      <c r="F160" s="9" t="s">
        <v>16</v>
      </c>
      <c r="G160" t="s">
        <v>13</v>
      </c>
      <c r="H160" t="s">
        <v>442</v>
      </c>
    </row>
    <row r="161" spans="1:8" x14ac:dyDescent="0.25">
      <c r="A161" s="18">
        <v>46142</v>
      </c>
      <c r="B161" s="4" t="s">
        <v>3</v>
      </c>
      <c r="C161" s="23">
        <v>15</v>
      </c>
      <c r="D161" s="2">
        <v>8</v>
      </c>
      <c r="E161" s="19" t="s">
        <v>10</v>
      </c>
      <c r="F161" s="9" t="s">
        <v>16</v>
      </c>
      <c r="G161" t="s">
        <v>13</v>
      </c>
      <c r="H161" t="s">
        <v>443</v>
      </c>
    </row>
  </sheetData>
  <autoFilter ref="A1:H379" xr:uid="{2B543102-7F5A-4A58-B7F1-6AA5F3CFE94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F7AF-6CC4-4E39-861B-A3E367BE309F}">
  <sheetPr>
    <tabColor theme="4" tint="0.39997558519241921"/>
  </sheetPr>
  <dimension ref="A1:H225"/>
  <sheetViews>
    <sheetView topLeftCell="C1" zoomScaleNormal="100" workbookViewId="0">
      <selection activeCell="I1" sqref="I1:J1048576"/>
    </sheetView>
  </sheetViews>
  <sheetFormatPr baseColWidth="10" defaultRowHeight="15" x14ac:dyDescent="0.25"/>
  <cols>
    <col min="2" max="2" width="12" bestFit="1" customWidth="1"/>
    <col min="3" max="3" width="16.42578125" customWidth="1"/>
    <col min="4" max="4" width="8.85546875" style="2" bestFit="1" customWidth="1"/>
    <col min="5" max="5" width="16.5703125" bestFit="1" customWidth="1"/>
    <col min="6" max="6" width="18.28515625" customWidth="1"/>
    <col min="7" max="7" width="34.42578125" customWidth="1"/>
    <col min="8" max="8" width="69.5703125" customWidth="1"/>
  </cols>
  <sheetData>
    <row r="1" spans="1:8" s="10" customFormat="1" x14ac:dyDescent="0.25">
      <c r="A1" s="1" t="s">
        <v>40</v>
      </c>
      <c r="B1" s="1" t="s">
        <v>0</v>
      </c>
      <c r="C1" s="1" t="s">
        <v>41</v>
      </c>
      <c r="D1" s="1" t="s">
        <v>42</v>
      </c>
      <c r="E1" s="3" t="s">
        <v>1</v>
      </c>
      <c r="F1" s="3" t="s">
        <v>43</v>
      </c>
      <c r="G1" s="3" t="s">
        <v>2</v>
      </c>
      <c r="H1" s="3" t="s">
        <v>273</v>
      </c>
    </row>
    <row r="2" spans="1:8" x14ac:dyDescent="0.25">
      <c r="A2" s="20">
        <v>46143</v>
      </c>
      <c r="B2" s="21" t="s">
        <v>6</v>
      </c>
      <c r="C2" s="14">
        <v>10</v>
      </c>
      <c r="D2" s="14">
        <v>8</v>
      </c>
      <c r="E2" s="22" t="s">
        <v>10</v>
      </c>
      <c r="F2" s="22" t="s">
        <v>11</v>
      </c>
      <c r="G2" s="22" t="s">
        <v>13</v>
      </c>
      <c r="H2" s="22" t="s">
        <v>348</v>
      </c>
    </row>
    <row r="3" spans="1:8" x14ac:dyDescent="0.25">
      <c r="A3" s="34">
        <v>46143</v>
      </c>
      <c r="B3" s="4" t="s">
        <v>8</v>
      </c>
      <c r="C3" s="23">
        <v>30</v>
      </c>
      <c r="E3" s="19" t="s">
        <v>4</v>
      </c>
      <c r="F3" s="9" t="s">
        <v>31</v>
      </c>
      <c r="G3" t="s">
        <v>5</v>
      </c>
      <c r="H3" t="s">
        <v>349</v>
      </c>
    </row>
    <row r="4" spans="1:8" x14ac:dyDescent="0.25">
      <c r="A4" s="34">
        <v>46143</v>
      </c>
      <c r="B4" s="4" t="s">
        <v>8</v>
      </c>
      <c r="C4" s="23">
        <v>10</v>
      </c>
      <c r="E4" s="19" t="s">
        <v>10</v>
      </c>
      <c r="F4" s="9" t="s">
        <v>11</v>
      </c>
      <c r="G4" t="s">
        <v>13</v>
      </c>
    </row>
    <row r="5" spans="1:8" x14ac:dyDescent="0.25">
      <c r="A5" s="34">
        <v>46143</v>
      </c>
      <c r="B5" s="4" t="s">
        <v>8</v>
      </c>
      <c r="C5" s="23">
        <v>20</v>
      </c>
      <c r="D5" s="2">
        <v>8</v>
      </c>
      <c r="E5" s="19" t="s">
        <v>10</v>
      </c>
      <c r="F5" s="9" t="s">
        <v>21</v>
      </c>
      <c r="G5" t="s">
        <v>18</v>
      </c>
      <c r="H5" t="s">
        <v>350</v>
      </c>
    </row>
    <row r="6" spans="1:8" x14ac:dyDescent="0.25">
      <c r="A6" s="34">
        <v>46143</v>
      </c>
      <c r="B6" s="4" t="s">
        <v>3</v>
      </c>
      <c r="C6" s="23">
        <v>15</v>
      </c>
      <c r="E6" s="19" t="s">
        <v>10</v>
      </c>
      <c r="F6" s="9" t="s">
        <v>16</v>
      </c>
      <c r="G6" t="s">
        <v>13</v>
      </c>
      <c r="H6" t="s">
        <v>351</v>
      </c>
    </row>
    <row r="7" spans="1:8" x14ac:dyDescent="0.25">
      <c r="A7" s="34">
        <v>46143</v>
      </c>
      <c r="B7" s="4" t="s">
        <v>3</v>
      </c>
      <c r="C7" s="23">
        <v>10</v>
      </c>
      <c r="E7" s="19" t="s">
        <v>10</v>
      </c>
      <c r="F7" s="9" t="s">
        <v>16</v>
      </c>
      <c r="G7" t="s">
        <v>13</v>
      </c>
      <c r="H7" t="s">
        <v>352</v>
      </c>
    </row>
    <row r="8" spans="1:8" x14ac:dyDescent="0.25">
      <c r="A8" s="34">
        <v>46143</v>
      </c>
      <c r="B8" s="4" t="s">
        <v>3</v>
      </c>
      <c r="C8" s="23">
        <v>15</v>
      </c>
      <c r="D8" s="2">
        <v>8</v>
      </c>
      <c r="E8" s="19" t="s">
        <v>10</v>
      </c>
      <c r="F8" s="9" t="s">
        <v>11</v>
      </c>
      <c r="G8" s="7" t="s">
        <v>15</v>
      </c>
    </row>
    <row r="9" spans="1:8" x14ac:dyDescent="0.25">
      <c r="A9" s="18">
        <v>46146</v>
      </c>
      <c r="B9" s="4" t="s">
        <v>8</v>
      </c>
      <c r="C9" s="23">
        <v>90</v>
      </c>
      <c r="E9" s="19" t="s">
        <v>4</v>
      </c>
      <c r="F9" s="9" t="s">
        <v>19</v>
      </c>
      <c r="G9" t="s">
        <v>5</v>
      </c>
      <c r="H9" t="s">
        <v>353</v>
      </c>
    </row>
    <row r="10" spans="1:8" x14ac:dyDescent="0.25">
      <c r="A10" s="18">
        <v>46146</v>
      </c>
      <c r="B10" s="4" t="s">
        <v>8</v>
      </c>
      <c r="C10" s="23">
        <v>30</v>
      </c>
      <c r="E10" s="19" t="s">
        <v>10</v>
      </c>
      <c r="F10" s="9" t="s">
        <v>28</v>
      </c>
      <c r="G10" t="s">
        <v>18</v>
      </c>
      <c r="H10" s="29" t="s">
        <v>354</v>
      </c>
    </row>
    <row r="11" spans="1:8" x14ac:dyDescent="0.25">
      <c r="A11" s="18">
        <v>46146</v>
      </c>
      <c r="B11" s="4" t="s">
        <v>8</v>
      </c>
      <c r="C11" s="23">
        <v>10</v>
      </c>
      <c r="D11" s="2">
        <v>8</v>
      </c>
      <c r="E11" s="19" t="s">
        <v>37</v>
      </c>
      <c r="F11" s="9" t="s">
        <v>24</v>
      </c>
      <c r="G11" t="s">
        <v>62</v>
      </c>
      <c r="H11" t="s">
        <v>355</v>
      </c>
    </row>
    <row r="12" spans="1:8" x14ac:dyDescent="0.25">
      <c r="A12" s="18">
        <v>46146</v>
      </c>
      <c r="B12" s="4" t="s">
        <v>3</v>
      </c>
      <c r="C12" s="23">
        <v>15</v>
      </c>
      <c r="E12" s="19" t="s">
        <v>10</v>
      </c>
      <c r="F12" s="9" t="s">
        <v>16</v>
      </c>
      <c r="G12" t="s">
        <v>13</v>
      </c>
      <c r="H12" t="s">
        <v>356</v>
      </c>
    </row>
    <row r="13" spans="1:8" x14ac:dyDescent="0.25">
      <c r="A13" s="18">
        <v>46146</v>
      </c>
      <c r="B13" s="4" t="s">
        <v>3</v>
      </c>
      <c r="C13" s="23">
        <v>7</v>
      </c>
      <c r="E13" s="19" t="s">
        <v>10</v>
      </c>
      <c r="F13" s="9" t="s">
        <v>11</v>
      </c>
      <c r="G13" t="s">
        <v>13</v>
      </c>
    </row>
    <row r="14" spans="1:8" x14ac:dyDescent="0.25">
      <c r="A14" s="18">
        <v>46146</v>
      </c>
      <c r="B14" s="4" t="s">
        <v>3</v>
      </c>
      <c r="C14" s="23">
        <v>7</v>
      </c>
      <c r="E14" s="19" t="s">
        <v>10</v>
      </c>
      <c r="F14" s="9" t="s">
        <v>11</v>
      </c>
      <c r="G14" t="s">
        <v>13</v>
      </c>
    </row>
    <row r="15" spans="1:8" x14ac:dyDescent="0.25">
      <c r="A15" s="18">
        <v>46146</v>
      </c>
      <c r="B15" s="4" t="s">
        <v>3</v>
      </c>
      <c r="C15" s="23">
        <v>10</v>
      </c>
      <c r="D15" s="2">
        <v>8</v>
      </c>
      <c r="E15" s="19" t="s">
        <v>10</v>
      </c>
      <c r="F15" s="9" t="s">
        <v>28</v>
      </c>
      <c r="G15" t="s">
        <v>18</v>
      </c>
      <c r="H15" s="29" t="s">
        <v>357</v>
      </c>
    </row>
    <row r="16" spans="1:8" x14ac:dyDescent="0.25">
      <c r="A16" s="18">
        <v>46146</v>
      </c>
      <c r="B16" s="4" t="s">
        <v>6</v>
      </c>
      <c r="C16" s="23">
        <v>5</v>
      </c>
      <c r="E16" s="19" t="s">
        <v>10</v>
      </c>
      <c r="F16" s="9" t="s">
        <v>11</v>
      </c>
      <c r="G16" t="s">
        <v>13</v>
      </c>
      <c r="H16" t="s">
        <v>75</v>
      </c>
    </row>
    <row r="17" spans="1:8" x14ac:dyDescent="0.25">
      <c r="A17" s="18">
        <v>46146</v>
      </c>
      <c r="B17" s="4" t="s">
        <v>6</v>
      </c>
      <c r="C17" s="23">
        <v>5</v>
      </c>
      <c r="D17" s="2">
        <v>8</v>
      </c>
      <c r="E17" s="19" t="s">
        <v>10</v>
      </c>
      <c r="F17" s="9" t="s">
        <v>11</v>
      </c>
      <c r="G17" t="s">
        <v>13</v>
      </c>
      <c r="H17" t="s">
        <v>75</v>
      </c>
    </row>
    <row r="18" spans="1:8" ht="30" x14ac:dyDescent="0.25">
      <c r="A18" s="18">
        <v>46147</v>
      </c>
      <c r="B18" s="4" t="s">
        <v>8</v>
      </c>
      <c r="C18" s="23">
        <v>40</v>
      </c>
      <c r="D18" s="2">
        <v>8</v>
      </c>
      <c r="E18" s="19" t="s">
        <v>10</v>
      </c>
      <c r="F18" s="9" t="s">
        <v>28</v>
      </c>
      <c r="G18" t="s">
        <v>18</v>
      </c>
      <c r="H18" s="29" t="s">
        <v>358</v>
      </c>
    </row>
    <row r="19" spans="1:8" ht="30" x14ac:dyDescent="0.25">
      <c r="A19" s="18">
        <v>46147</v>
      </c>
      <c r="B19" s="4" t="s">
        <v>3</v>
      </c>
      <c r="C19" s="23">
        <v>20</v>
      </c>
      <c r="E19" s="19" t="s">
        <v>4</v>
      </c>
      <c r="F19" s="9" t="s">
        <v>28</v>
      </c>
      <c r="G19" t="s">
        <v>7</v>
      </c>
      <c r="H19" s="29" t="s">
        <v>359</v>
      </c>
    </row>
    <row r="20" spans="1:8" x14ac:dyDescent="0.25">
      <c r="A20" s="18">
        <v>46147</v>
      </c>
      <c r="B20" s="4" t="s">
        <v>3</v>
      </c>
      <c r="C20" s="23">
        <v>10</v>
      </c>
      <c r="E20" s="19" t="s">
        <v>10</v>
      </c>
      <c r="F20" s="9" t="s">
        <v>16</v>
      </c>
      <c r="G20" t="s">
        <v>13</v>
      </c>
      <c r="H20" t="s">
        <v>360</v>
      </c>
    </row>
    <row r="21" spans="1:8" x14ac:dyDescent="0.25">
      <c r="A21" s="18">
        <v>46147</v>
      </c>
      <c r="B21" s="4" t="s">
        <v>3</v>
      </c>
      <c r="C21" s="23">
        <v>10</v>
      </c>
      <c r="E21" s="19" t="s">
        <v>10</v>
      </c>
      <c r="F21" s="9" t="s">
        <v>11</v>
      </c>
      <c r="G21" t="s">
        <v>13</v>
      </c>
      <c r="H21" t="s">
        <v>361</v>
      </c>
    </row>
    <row r="22" spans="1:8" x14ac:dyDescent="0.25">
      <c r="A22" s="18">
        <v>46147</v>
      </c>
      <c r="B22" s="4" t="s">
        <v>3</v>
      </c>
      <c r="C22" s="23">
        <v>25</v>
      </c>
      <c r="D22" s="2">
        <v>8</v>
      </c>
      <c r="E22" s="19" t="s">
        <v>4</v>
      </c>
      <c r="F22" s="9" t="s">
        <v>28</v>
      </c>
      <c r="G22" t="s">
        <v>5</v>
      </c>
      <c r="H22" s="29" t="s">
        <v>362</v>
      </c>
    </row>
    <row r="23" spans="1:8" x14ac:dyDescent="0.25">
      <c r="A23" s="18">
        <v>46147</v>
      </c>
      <c r="B23" s="4" t="s">
        <v>6</v>
      </c>
      <c r="C23" s="23">
        <v>20</v>
      </c>
      <c r="D23" s="2">
        <v>8</v>
      </c>
      <c r="E23" s="19" t="s">
        <v>4</v>
      </c>
      <c r="F23" s="9" t="s">
        <v>28</v>
      </c>
      <c r="G23" t="s">
        <v>5</v>
      </c>
      <c r="H23" s="29" t="s">
        <v>363</v>
      </c>
    </row>
    <row r="24" spans="1:8" x14ac:dyDescent="0.25">
      <c r="A24" s="18">
        <v>46148</v>
      </c>
      <c r="B24" s="4" t="s">
        <v>8</v>
      </c>
      <c r="C24" s="23">
        <v>10</v>
      </c>
      <c r="D24" s="2">
        <v>8</v>
      </c>
      <c r="E24" s="19" t="s">
        <v>10</v>
      </c>
      <c r="F24" s="9" t="s">
        <v>11</v>
      </c>
      <c r="G24" t="s">
        <v>13</v>
      </c>
      <c r="H24" t="s">
        <v>75</v>
      </c>
    </row>
    <row r="25" spans="1:8" x14ac:dyDescent="0.25">
      <c r="A25" s="18">
        <v>46148</v>
      </c>
      <c r="B25" s="4" t="s">
        <v>3</v>
      </c>
      <c r="C25" s="23">
        <v>0</v>
      </c>
      <c r="D25" s="2">
        <v>8</v>
      </c>
    </row>
    <row r="26" spans="1:8" x14ac:dyDescent="0.25">
      <c r="A26" s="18">
        <v>46148</v>
      </c>
      <c r="B26" s="4" t="s">
        <v>6</v>
      </c>
      <c r="C26" s="23">
        <v>0</v>
      </c>
      <c r="D26" s="2">
        <v>8</v>
      </c>
    </row>
    <row r="27" spans="1:8" x14ac:dyDescent="0.25">
      <c r="A27" s="18">
        <v>46149</v>
      </c>
      <c r="B27" s="4" t="s">
        <v>8</v>
      </c>
      <c r="C27" s="23">
        <v>10</v>
      </c>
      <c r="D27" s="2">
        <v>8</v>
      </c>
      <c r="E27" s="19" t="s">
        <v>10</v>
      </c>
      <c r="F27" s="9" t="s">
        <v>24</v>
      </c>
      <c r="G27" t="s">
        <v>25</v>
      </c>
    </row>
    <row r="28" spans="1:8" x14ac:dyDescent="0.25">
      <c r="A28" s="18">
        <v>46149</v>
      </c>
      <c r="B28" s="4" t="s">
        <v>3</v>
      </c>
      <c r="C28" s="23">
        <v>20</v>
      </c>
      <c r="E28" s="19" t="s">
        <v>37</v>
      </c>
      <c r="F28" s="9" t="s">
        <v>29</v>
      </c>
      <c r="G28" t="s">
        <v>62</v>
      </c>
      <c r="H28" t="s">
        <v>364</v>
      </c>
    </row>
    <row r="29" spans="1:8" x14ac:dyDescent="0.25">
      <c r="A29" s="18">
        <v>46149</v>
      </c>
      <c r="B29" s="4" t="s">
        <v>3</v>
      </c>
      <c r="C29" s="23">
        <v>10</v>
      </c>
      <c r="D29" s="2">
        <v>8</v>
      </c>
      <c r="E29" s="19" t="s">
        <v>10</v>
      </c>
      <c r="F29" s="9" t="s">
        <v>11</v>
      </c>
      <c r="G29" t="s">
        <v>13</v>
      </c>
      <c r="H29" t="s">
        <v>365</v>
      </c>
    </row>
    <row r="30" spans="1:8" x14ac:dyDescent="0.25">
      <c r="A30" s="18">
        <v>46149</v>
      </c>
      <c r="B30" s="4" t="s">
        <v>6</v>
      </c>
      <c r="C30" s="23">
        <v>10</v>
      </c>
      <c r="E30" s="19" t="s">
        <v>10</v>
      </c>
      <c r="F30" s="9" t="s">
        <v>11</v>
      </c>
      <c r="G30" t="s">
        <v>13</v>
      </c>
      <c r="H30" t="s">
        <v>366</v>
      </c>
    </row>
    <row r="31" spans="1:8" x14ac:dyDescent="0.25">
      <c r="A31" s="18">
        <v>46149</v>
      </c>
      <c r="B31" s="4" t="s">
        <v>6</v>
      </c>
      <c r="C31" s="23">
        <v>50</v>
      </c>
      <c r="D31" s="2">
        <v>8</v>
      </c>
      <c r="E31" s="19" t="s">
        <v>10</v>
      </c>
      <c r="F31" s="9" t="s">
        <v>28</v>
      </c>
      <c r="G31" t="s">
        <v>18</v>
      </c>
      <c r="H31" s="29" t="s">
        <v>367</v>
      </c>
    </row>
    <row r="32" spans="1:8" x14ac:dyDescent="0.25">
      <c r="A32" s="18">
        <v>46150</v>
      </c>
      <c r="B32" s="4" t="s">
        <v>8</v>
      </c>
      <c r="C32" s="23">
        <v>140</v>
      </c>
      <c r="E32" s="19" t="s">
        <v>4</v>
      </c>
      <c r="F32" s="9" t="s">
        <v>19</v>
      </c>
      <c r="G32" t="s">
        <v>5</v>
      </c>
      <c r="H32" t="s">
        <v>368</v>
      </c>
    </row>
    <row r="33" spans="1:8" ht="30" x14ac:dyDescent="0.25">
      <c r="A33" s="18">
        <v>46150</v>
      </c>
      <c r="B33" s="4" t="s">
        <v>8</v>
      </c>
      <c r="C33" s="23">
        <v>90</v>
      </c>
      <c r="D33" s="2">
        <v>8</v>
      </c>
      <c r="E33" s="19" t="s">
        <v>10</v>
      </c>
      <c r="F33" s="9" t="s">
        <v>28</v>
      </c>
      <c r="G33" t="s">
        <v>18</v>
      </c>
      <c r="H33" s="29" t="s">
        <v>369</v>
      </c>
    </row>
    <row r="34" spans="1:8" x14ac:dyDescent="0.25">
      <c r="A34" s="18">
        <v>46150</v>
      </c>
      <c r="B34" s="4" t="s">
        <v>3</v>
      </c>
      <c r="C34" s="23">
        <v>90</v>
      </c>
      <c r="D34" s="2">
        <v>8</v>
      </c>
      <c r="E34" s="19" t="s">
        <v>4</v>
      </c>
      <c r="F34" s="9" t="s">
        <v>21</v>
      </c>
      <c r="G34" t="s">
        <v>5</v>
      </c>
      <c r="H34" t="s">
        <v>370</v>
      </c>
    </row>
    <row r="35" spans="1:8" x14ac:dyDescent="0.25">
      <c r="A35" s="18">
        <v>46150</v>
      </c>
      <c r="B35" s="4" t="s">
        <v>6</v>
      </c>
      <c r="C35" s="23">
        <v>35</v>
      </c>
      <c r="E35" s="19" t="s">
        <v>10</v>
      </c>
      <c r="F35" s="9" t="s">
        <v>29</v>
      </c>
      <c r="G35" t="s">
        <v>18</v>
      </c>
      <c r="H35" t="s">
        <v>371</v>
      </c>
    </row>
    <row r="36" spans="1:8" x14ac:dyDescent="0.25">
      <c r="A36" s="18">
        <v>46150</v>
      </c>
      <c r="B36" s="4" t="s">
        <v>6</v>
      </c>
      <c r="C36" s="23">
        <v>15</v>
      </c>
      <c r="D36" s="2">
        <v>8</v>
      </c>
      <c r="E36" s="19" t="s">
        <v>10</v>
      </c>
      <c r="F36" s="9" t="s">
        <v>16</v>
      </c>
      <c r="G36" t="s">
        <v>13</v>
      </c>
      <c r="H36" t="s">
        <v>372</v>
      </c>
    </row>
    <row r="37" spans="1:8" x14ac:dyDescent="0.25">
      <c r="A37" s="18">
        <v>46151</v>
      </c>
      <c r="B37" s="4" t="s">
        <v>8</v>
      </c>
      <c r="C37" s="23">
        <v>20</v>
      </c>
      <c r="D37" s="2">
        <v>8</v>
      </c>
      <c r="E37" s="19" t="s">
        <v>10</v>
      </c>
      <c r="F37" s="9" t="s">
        <v>29</v>
      </c>
      <c r="G37" t="s">
        <v>18</v>
      </c>
    </row>
    <row r="38" spans="1:8" x14ac:dyDescent="0.25">
      <c r="A38" s="18">
        <v>46151</v>
      </c>
      <c r="B38" s="4" t="s">
        <v>3</v>
      </c>
      <c r="C38" s="23">
        <v>10</v>
      </c>
      <c r="E38" s="19" t="s">
        <v>10</v>
      </c>
      <c r="F38" s="9" t="s">
        <v>11</v>
      </c>
      <c r="G38" t="s">
        <v>13</v>
      </c>
    </row>
    <row r="39" spans="1:8" x14ac:dyDescent="0.25">
      <c r="A39" s="18">
        <v>46151</v>
      </c>
      <c r="B39" s="4" t="s">
        <v>3</v>
      </c>
      <c r="C39" s="23">
        <v>20</v>
      </c>
      <c r="D39" s="2">
        <v>8</v>
      </c>
      <c r="E39" s="19" t="s">
        <v>10</v>
      </c>
      <c r="F39" s="9" t="s">
        <v>11</v>
      </c>
      <c r="G39" t="s">
        <v>13</v>
      </c>
      <c r="H39" t="s">
        <v>373</v>
      </c>
    </row>
    <row r="40" spans="1:8" x14ac:dyDescent="0.25">
      <c r="A40" s="18">
        <v>46151</v>
      </c>
      <c r="B40" s="4" t="s">
        <v>6</v>
      </c>
      <c r="C40" s="23">
        <v>25</v>
      </c>
      <c r="D40" s="2">
        <v>8</v>
      </c>
      <c r="E40" s="19" t="s">
        <v>4</v>
      </c>
      <c r="F40" s="9" t="s">
        <v>31</v>
      </c>
      <c r="G40" t="s">
        <v>7</v>
      </c>
      <c r="H40" t="s">
        <v>374</v>
      </c>
    </row>
    <row r="41" spans="1:8" x14ac:dyDescent="0.25">
      <c r="A41" s="18">
        <v>46152</v>
      </c>
      <c r="B41" s="4" t="s">
        <v>8</v>
      </c>
      <c r="C41" s="23">
        <v>25</v>
      </c>
      <c r="E41" s="19" t="s">
        <v>10</v>
      </c>
      <c r="F41" s="9" t="s">
        <v>21</v>
      </c>
      <c r="G41" t="s">
        <v>18</v>
      </c>
      <c r="H41" t="s">
        <v>375</v>
      </c>
    </row>
    <row r="42" spans="1:8" x14ac:dyDescent="0.25">
      <c r="A42" s="18">
        <v>46152</v>
      </c>
      <c r="B42" s="4" t="s">
        <v>8</v>
      </c>
      <c r="C42" s="23">
        <v>10</v>
      </c>
      <c r="D42" s="2">
        <v>8</v>
      </c>
      <c r="E42" s="19" t="s">
        <v>10</v>
      </c>
      <c r="F42" s="9" t="s">
        <v>24</v>
      </c>
      <c r="G42" t="s">
        <v>25</v>
      </c>
    </row>
    <row r="43" spans="1:8" x14ac:dyDescent="0.25">
      <c r="A43" s="18">
        <v>46152</v>
      </c>
      <c r="B43" s="4" t="s">
        <v>3</v>
      </c>
      <c r="C43" s="23">
        <v>10</v>
      </c>
      <c r="E43" s="19" t="s">
        <v>10</v>
      </c>
      <c r="F43" s="9" t="s">
        <v>21</v>
      </c>
      <c r="G43" t="s">
        <v>18</v>
      </c>
      <c r="H43" t="s">
        <v>376</v>
      </c>
    </row>
    <row r="44" spans="1:8" x14ac:dyDescent="0.25">
      <c r="A44" s="18">
        <v>46152</v>
      </c>
      <c r="B44" s="4" t="s">
        <v>3</v>
      </c>
      <c r="C44" s="23">
        <v>10</v>
      </c>
      <c r="E44" s="19" t="s">
        <v>10</v>
      </c>
      <c r="F44" s="9" t="s">
        <v>11</v>
      </c>
      <c r="G44" t="s">
        <v>13</v>
      </c>
    </row>
    <row r="45" spans="1:8" x14ac:dyDescent="0.25">
      <c r="A45" s="18">
        <v>46152</v>
      </c>
      <c r="B45" s="4" t="s">
        <v>3</v>
      </c>
      <c r="C45" s="23">
        <v>40</v>
      </c>
      <c r="E45" s="19" t="s">
        <v>10</v>
      </c>
      <c r="F45" s="9" t="s">
        <v>28</v>
      </c>
      <c r="G45" t="s">
        <v>18</v>
      </c>
      <c r="H45" t="s">
        <v>377</v>
      </c>
    </row>
    <row r="46" spans="1:8" x14ac:dyDescent="0.25">
      <c r="A46" s="18">
        <v>46152</v>
      </c>
      <c r="B46" s="4" t="s">
        <v>3</v>
      </c>
      <c r="C46" s="23">
        <v>15</v>
      </c>
      <c r="D46" s="2">
        <v>8</v>
      </c>
      <c r="E46" s="19" t="s">
        <v>4</v>
      </c>
      <c r="F46" s="9" t="s">
        <v>29</v>
      </c>
      <c r="G46" t="s">
        <v>7</v>
      </c>
      <c r="H46" t="s">
        <v>378</v>
      </c>
    </row>
    <row r="47" spans="1:8" x14ac:dyDescent="0.25">
      <c r="A47" s="18">
        <v>46153</v>
      </c>
      <c r="B47" s="4" t="s">
        <v>3</v>
      </c>
      <c r="C47" s="23">
        <v>10</v>
      </c>
      <c r="E47" s="19" t="s">
        <v>10</v>
      </c>
      <c r="F47" s="9" t="s">
        <v>11</v>
      </c>
      <c r="G47" t="s">
        <v>13</v>
      </c>
      <c r="H47" t="s">
        <v>84</v>
      </c>
    </row>
    <row r="48" spans="1:8" x14ac:dyDescent="0.25">
      <c r="A48" s="18">
        <v>46153</v>
      </c>
      <c r="B48" s="4" t="s">
        <v>3</v>
      </c>
      <c r="C48" s="23">
        <v>15</v>
      </c>
      <c r="E48" s="19" t="s">
        <v>10</v>
      </c>
      <c r="F48" s="9" t="s">
        <v>28</v>
      </c>
      <c r="G48" t="s">
        <v>18</v>
      </c>
      <c r="H48" t="s">
        <v>379</v>
      </c>
    </row>
    <row r="49" spans="1:8" x14ac:dyDescent="0.25">
      <c r="A49" s="18">
        <v>46153</v>
      </c>
      <c r="B49" s="4" t="s">
        <v>3</v>
      </c>
      <c r="C49" s="23">
        <v>10</v>
      </c>
      <c r="D49" s="2">
        <v>8</v>
      </c>
      <c r="E49" s="19" t="s">
        <v>10</v>
      </c>
      <c r="F49" s="9" t="s">
        <v>29</v>
      </c>
      <c r="G49" t="s">
        <v>18</v>
      </c>
      <c r="H49" t="s">
        <v>380</v>
      </c>
    </row>
    <row r="50" spans="1:8" x14ac:dyDescent="0.25">
      <c r="A50" s="18">
        <v>46153</v>
      </c>
      <c r="B50" s="4" t="s">
        <v>6</v>
      </c>
      <c r="C50" s="23">
        <v>35</v>
      </c>
      <c r="E50" s="19" t="s">
        <v>10</v>
      </c>
      <c r="F50" s="9" t="s">
        <v>28</v>
      </c>
      <c r="G50" t="s">
        <v>18</v>
      </c>
      <c r="H50" t="s">
        <v>381</v>
      </c>
    </row>
    <row r="51" spans="1:8" x14ac:dyDescent="0.25">
      <c r="A51" s="18">
        <v>46153</v>
      </c>
      <c r="B51" s="4" t="s">
        <v>6</v>
      </c>
      <c r="C51" s="23">
        <v>15</v>
      </c>
      <c r="E51" s="19" t="s">
        <v>10</v>
      </c>
      <c r="F51" s="9" t="s">
        <v>16</v>
      </c>
      <c r="G51" t="s">
        <v>13</v>
      </c>
      <c r="H51" t="s">
        <v>382</v>
      </c>
    </row>
    <row r="52" spans="1:8" x14ac:dyDescent="0.25">
      <c r="A52" s="18">
        <v>46153</v>
      </c>
      <c r="B52" s="4" t="s">
        <v>6</v>
      </c>
      <c r="C52" s="23">
        <v>45</v>
      </c>
      <c r="D52" s="2">
        <v>8</v>
      </c>
      <c r="E52" s="19" t="s">
        <v>10</v>
      </c>
      <c r="F52" s="9" t="s">
        <v>21</v>
      </c>
      <c r="G52" s="7" t="s">
        <v>22</v>
      </c>
      <c r="H52" t="s">
        <v>383</v>
      </c>
    </row>
    <row r="53" spans="1:8" x14ac:dyDescent="0.25">
      <c r="A53" s="18">
        <v>46153</v>
      </c>
      <c r="B53" s="4" t="s">
        <v>8</v>
      </c>
      <c r="C53" s="23">
        <v>45</v>
      </c>
      <c r="D53" s="2">
        <v>8</v>
      </c>
      <c r="E53" s="19" t="s">
        <v>10</v>
      </c>
      <c r="F53" s="9" t="s">
        <v>21</v>
      </c>
      <c r="G53" s="7" t="s">
        <v>22</v>
      </c>
      <c r="H53" t="s">
        <v>384</v>
      </c>
    </row>
    <row r="54" spans="1:8" x14ac:dyDescent="0.25">
      <c r="A54" s="18">
        <v>46154</v>
      </c>
      <c r="B54" s="4" t="s">
        <v>3</v>
      </c>
      <c r="C54" s="23">
        <v>15</v>
      </c>
      <c r="D54" s="2">
        <v>8</v>
      </c>
      <c r="E54" s="19" t="s">
        <v>10</v>
      </c>
      <c r="F54" s="9" t="s">
        <v>11</v>
      </c>
      <c r="G54" t="s">
        <v>13</v>
      </c>
      <c r="H54" t="s">
        <v>385</v>
      </c>
    </row>
    <row r="55" spans="1:8" x14ac:dyDescent="0.25">
      <c r="A55" s="18">
        <v>46154</v>
      </c>
      <c r="B55" s="4" t="s">
        <v>6</v>
      </c>
      <c r="C55" s="23">
        <v>15</v>
      </c>
      <c r="E55" s="19" t="s">
        <v>10</v>
      </c>
      <c r="F55" s="9" t="s">
        <v>16</v>
      </c>
      <c r="G55" t="s">
        <v>13</v>
      </c>
      <c r="H55" t="s">
        <v>386</v>
      </c>
    </row>
    <row r="56" spans="1:8" x14ac:dyDescent="0.25">
      <c r="A56" s="18">
        <v>46154</v>
      </c>
      <c r="B56" s="4" t="s">
        <v>6</v>
      </c>
      <c r="C56" s="23">
        <v>35</v>
      </c>
      <c r="D56" s="2">
        <v>8</v>
      </c>
      <c r="E56" s="19" t="s">
        <v>10</v>
      </c>
      <c r="F56" s="9" t="s">
        <v>21</v>
      </c>
      <c r="G56" s="7" t="s">
        <v>22</v>
      </c>
      <c r="H56" t="s">
        <v>387</v>
      </c>
    </row>
    <row r="57" spans="1:8" x14ac:dyDescent="0.25">
      <c r="A57" s="18">
        <v>46154</v>
      </c>
      <c r="B57" s="4" t="s">
        <v>8</v>
      </c>
      <c r="C57" s="23">
        <v>0</v>
      </c>
      <c r="D57" s="2">
        <v>8</v>
      </c>
    </row>
    <row r="58" spans="1:8" x14ac:dyDescent="0.25">
      <c r="A58" s="18">
        <v>46155</v>
      </c>
      <c r="B58" s="4" t="s">
        <v>3</v>
      </c>
      <c r="C58" s="23">
        <v>20</v>
      </c>
      <c r="D58" s="2">
        <v>8</v>
      </c>
      <c r="E58" s="19" t="s">
        <v>37</v>
      </c>
      <c r="F58" s="9" t="s">
        <v>11</v>
      </c>
      <c r="G58" s="32" t="s">
        <v>62</v>
      </c>
      <c r="H58" t="s">
        <v>388</v>
      </c>
    </row>
    <row r="59" spans="1:8" x14ac:dyDescent="0.25">
      <c r="A59" s="18">
        <v>46155</v>
      </c>
      <c r="B59" s="4" t="s">
        <v>6</v>
      </c>
      <c r="C59" s="23">
        <v>20</v>
      </c>
      <c r="E59" s="19" t="s">
        <v>10</v>
      </c>
      <c r="F59" s="9" t="s">
        <v>11</v>
      </c>
      <c r="G59" t="s">
        <v>13</v>
      </c>
      <c r="H59" t="s">
        <v>389</v>
      </c>
    </row>
    <row r="60" spans="1:8" x14ac:dyDescent="0.25">
      <c r="A60" s="18">
        <v>46155</v>
      </c>
      <c r="B60" s="4" t="s">
        <v>6</v>
      </c>
      <c r="C60" s="23">
        <v>15</v>
      </c>
      <c r="E60" s="19" t="s">
        <v>10</v>
      </c>
      <c r="F60" s="9" t="s">
        <v>11</v>
      </c>
      <c r="G60" t="s">
        <v>13</v>
      </c>
    </row>
    <row r="61" spans="1:8" x14ac:dyDescent="0.25">
      <c r="A61" s="18">
        <v>46155</v>
      </c>
      <c r="B61" s="4" t="s">
        <v>6</v>
      </c>
      <c r="C61" s="23">
        <v>15</v>
      </c>
      <c r="E61" s="19" t="s">
        <v>10</v>
      </c>
      <c r="F61" s="9" t="s">
        <v>24</v>
      </c>
      <c r="G61" s="7" t="s">
        <v>25</v>
      </c>
    </row>
    <row r="62" spans="1:8" x14ac:dyDescent="0.25">
      <c r="A62" s="18">
        <v>46155</v>
      </c>
      <c r="B62" s="4" t="s">
        <v>6</v>
      </c>
      <c r="C62" s="23">
        <v>15</v>
      </c>
      <c r="D62" s="2">
        <v>8</v>
      </c>
      <c r="E62" s="19" t="s">
        <v>10</v>
      </c>
      <c r="F62" s="9" t="s">
        <v>16</v>
      </c>
      <c r="G62" t="s">
        <v>13</v>
      </c>
      <c r="H62" t="s">
        <v>390</v>
      </c>
    </row>
    <row r="63" spans="1:8" x14ac:dyDescent="0.25">
      <c r="A63" s="18">
        <v>46155</v>
      </c>
      <c r="B63" s="4" t="s">
        <v>8</v>
      </c>
      <c r="C63" s="23">
        <v>15</v>
      </c>
      <c r="E63" s="19" t="s">
        <v>10</v>
      </c>
      <c r="F63" s="9" t="s">
        <v>11</v>
      </c>
      <c r="G63" t="s">
        <v>13</v>
      </c>
    </row>
    <row r="64" spans="1:8" x14ac:dyDescent="0.25">
      <c r="A64" s="18">
        <v>46155</v>
      </c>
      <c r="B64" s="4" t="s">
        <v>8</v>
      </c>
      <c r="C64" s="23">
        <v>10</v>
      </c>
      <c r="D64" s="2">
        <v>8</v>
      </c>
      <c r="E64" s="19" t="s">
        <v>4</v>
      </c>
      <c r="F64" s="9" t="s">
        <v>29</v>
      </c>
      <c r="G64" t="s">
        <v>7</v>
      </c>
      <c r="H64" t="s">
        <v>391</v>
      </c>
    </row>
    <row r="65" spans="1:8" x14ac:dyDescent="0.25">
      <c r="A65" s="18">
        <v>46156</v>
      </c>
      <c r="B65" s="4" t="s">
        <v>3</v>
      </c>
      <c r="C65" s="23">
        <v>10</v>
      </c>
      <c r="E65" s="19" t="s">
        <v>10</v>
      </c>
      <c r="F65" s="9" t="s">
        <v>16</v>
      </c>
      <c r="G65" t="s">
        <v>13</v>
      </c>
      <c r="H65" t="s">
        <v>392</v>
      </c>
    </row>
    <row r="66" spans="1:8" x14ac:dyDescent="0.25">
      <c r="A66" s="18">
        <v>46156</v>
      </c>
      <c r="B66" s="4" t="s">
        <v>3</v>
      </c>
      <c r="C66" s="23">
        <v>60</v>
      </c>
      <c r="D66" s="2">
        <v>8</v>
      </c>
      <c r="E66" s="19" t="s">
        <v>37</v>
      </c>
      <c r="F66" s="9" t="s">
        <v>11</v>
      </c>
      <c r="G66" s="32" t="s">
        <v>62</v>
      </c>
      <c r="H66" t="s">
        <v>393</v>
      </c>
    </row>
    <row r="67" spans="1:8" x14ac:dyDescent="0.25">
      <c r="A67" s="18">
        <v>46156</v>
      </c>
      <c r="B67" s="4" t="s">
        <v>6</v>
      </c>
      <c r="C67" s="23">
        <v>50</v>
      </c>
      <c r="D67" s="2">
        <v>8</v>
      </c>
      <c r="E67" s="19" t="s">
        <v>4</v>
      </c>
      <c r="F67" s="9" t="s">
        <v>29</v>
      </c>
      <c r="G67" t="s">
        <v>7</v>
      </c>
      <c r="H67" t="s">
        <v>394</v>
      </c>
    </row>
    <row r="68" spans="1:8" x14ac:dyDescent="0.25">
      <c r="A68" s="18">
        <v>46156</v>
      </c>
      <c r="B68" s="4" t="s">
        <v>8</v>
      </c>
      <c r="C68" s="23">
        <v>25</v>
      </c>
      <c r="E68" s="19" t="s">
        <v>10</v>
      </c>
      <c r="F68" s="9" t="s">
        <v>11</v>
      </c>
      <c r="G68" t="s">
        <v>13</v>
      </c>
    </row>
    <row r="69" spans="1:8" x14ac:dyDescent="0.25">
      <c r="A69" s="18">
        <v>46156</v>
      </c>
      <c r="B69" s="4" t="s">
        <v>8</v>
      </c>
      <c r="C69" s="23">
        <v>40</v>
      </c>
      <c r="D69" s="2">
        <v>8</v>
      </c>
      <c r="E69" s="19" t="s">
        <v>4</v>
      </c>
      <c r="F69" s="9" t="s">
        <v>21</v>
      </c>
      <c r="G69" t="s">
        <v>5</v>
      </c>
      <c r="H69" t="s">
        <v>395</v>
      </c>
    </row>
    <row r="70" spans="1:8" x14ac:dyDescent="0.25">
      <c r="A70" s="18">
        <v>46157</v>
      </c>
      <c r="B70" s="4" t="s">
        <v>3</v>
      </c>
      <c r="C70" s="23">
        <v>35</v>
      </c>
      <c r="E70" s="19" t="s">
        <v>4</v>
      </c>
      <c r="F70" s="9" t="s">
        <v>29</v>
      </c>
      <c r="G70" t="s">
        <v>7</v>
      </c>
      <c r="H70" t="s">
        <v>396</v>
      </c>
    </row>
    <row r="71" spans="1:8" x14ac:dyDescent="0.25">
      <c r="A71" s="18">
        <v>46157</v>
      </c>
      <c r="B71" s="4" t="s">
        <v>3</v>
      </c>
      <c r="C71" s="23">
        <v>10</v>
      </c>
      <c r="D71" s="2">
        <v>8</v>
      </c>
      <c r="E71" s="19" t="s">
        <v>4</v>
      </c>
      <c r="F71" s="9" t="s">
        <v>28</v>
      </c>
      <c r="G71" t="s">
        <v>5</v>
      </c>
      <c r="H71" t="s">
        <v>397</v>
      </c>
    </row>
    <row r="72" spans="1:8" x14ac:dyDescent="0.25">
      <c r="A72" s="18">
        <v>46157</v>
      </c>
      <c r="B72" s="4" t="s">
        <v>6</v>
      </c>
      <c r="C72" s="23">
        <v>0</v>
      </c>
      <c r="D72" s="2">
        <v>8</v>
      </c>
    </row>
    <row r="73" spans="1:8" x14ac:dyDescent="0.25">
      <c r="A73" s="18">
        <v>46157</v>
      </c>
      <c r="B73" s="4" t="s">
        <v>8</v>
      </c>
      <c r="C73" s="23">
        <v>0</v>
      </c>
      <c r="D73" s="2">
        <v>8</v>
      </c>
    </row>
    <row r="74" spans="1:8" x14ac:dyDescent="0.25">
      <c r="A74" s="18">
        <v>46158</v>
      </c>
      <c r="B74" s="4" t="s">
        <v>3</v>
      </c>
      <c r="C74" s="23">
        <v>10</v>
      </c>
      <c r="D74" s="2">
        <v>8</v>
      </c>
      <c r="E74" s="19" t="s">
        <v>10</v>
      </c>
      <c r="F74" s="9" t="s">
        <v>11</v>
      </c>
      <c r="G74" t="s">
        <v>13</v>
      </c>
      <c r="H74" t="s">
        <v>84</v>
      </c>
    </row>
    <row r="75" spans="1:8" x14ac:dyDescent="0.25">
      <c r="A75" s="18">
        <v>46158</v>
      </c>
      <c r="B75" s="4" t="s">
        <v>6</v>
      </c>
      <c r="C75" s="23">
        <v>15</v>
      </c>
      <c r="E75" s="19" t="s">
        <v>10</v>
      </c>
      <c r="F75" s="9" t="s">
        <v>11</v>
      </c>
      <c r="G75" t="s">
        <v>13</v>
      </c>
      <c r="H75" t="s">
        <v>75</v>
      </c>
    </row>
    <row r="76" spans="1:8" x14ac:dyDescent="0.25">
      <c r="A76" s="18">
        <v>46158</v>
      </c>
      <c r="B76" s="4" t="s">
        <v>6</v>
      </c>
      <c r="C76" s="23">
        <v>25</v>
      </c>
      <c r="D76" s="2">
        <v>8</v>
      </c>
      <c r="E76" s="19" t="s">
        <v>10</v>
      </c>
      <c r="F76" s="9" t="s">
        <v>16</v>
      </c>
      <c r="G76" t="s">
        <v>13</v>
      </c>
      <c r="H76" t="s">
        <v>398</v>
      </c>
    </row>
    <row r="77" spans="1:8" x14ac:dyDescent="0.25">
      <c r="A77" s="18">
        <v>46158</v>
      </c>
      <c r="B77" s="4" t="s">
        <v>8</v>
      </c>
      <c r="C77" s="23">
        <v>0</v>
      </c>
      <c r="D77" s="2">
        <v>8</v>
      </c>
    </row>
    <row r="78" spans="1:8" x14ac:dyDescent="0.25">
      <c r="A78" s="18">
        <v>46159</v>
      </c>
      <c r="B78" s="4" t="s">
        <v>6</v>
      </c>
      <c r="C78" s="23">
        <v>0</v>
      </c>
      <c r="D78" s="2">
        <v>8</v>
      </c>
    </row>
    <row r="79" spans="1:8" x14ac:dyDescent="0.25">
      <c r="A79" s="18">
        <v>46159</v>
      </c>
      <c r="B79" s="4" t="s">
        <v>8</v>
      </c>
      <c r="C79" s="23">
        <v>10</v>
      </c>
      <c r="E79" s="19" t="s">
        <v>10</v>
      </c>
      <c r="F79" s="9" t="s">
        <v>11</v>
      </c>
      <c r="G79" t="s">
        <v>13</v>
      </c>
      <c r="H79" t="s">
        <v>75</v>
      </c>
    </row>
    <row r="80" spans="1:8" x14ac:dyDescent="0.25">
      <c r="A80" s="18">
        <v>46159</v>
      </c>
      <c r="B80" s="4" t="s">
        <v>8</v>
      </c>
      <c r="C80" s="23">
        <v>5</v>
      </c>
      <c r="E80" s="19" t="s">
        <v>10</v>
      </c>
      <c r="F80" s="9" t="s">
        <v>11</v>
      </c>
      <c r="G80" t="s">
        <v>13</v>
      </c>
      <c r="H80" t="s">
        <v>75</v>
      </c>
    </row>
    <row r="81" spans="1:8" x14ac:dyDescent="0.25">
      <c r="A81" s="18">
        <v>46159</v>
      </c>
      <c r="B81" s="4" t="s">
        <v>8</v>
      </c>
      <c r="C81" s="23">
        <v>10</v>
      </c>
      <c r="D81" s="2">
        <v>8</v>
      </c>
      <c r="E81" s="19" t="s">
        <v>10</v>
      </c>
      <c r="F81" s="9" t="s">
        <v>11</v>
      </c>
      <c r="G81" t="s">
        <v>13</v>
      </c>
      <c r="H81" t="s">
        <v>75</v>
      </c>
    </row>
    <row r="82" spans="1:8" x14ac:dyDescent="0.25">
      <c r="A82" s="18">
        <v>46159</v>
      </c>
      <c r="B82" s="4" t="s">
        <v>3</v>
      </c>
      <c r="C82" s="23">
        <v>0</v>
      </c>
      <c r="D82" s="2">
        <v>8</v>
      </c>
    </row>
    <row r="83" spans="1:8" x14ac:dyDescent="0.25">
      <c r="A83" s="18">
        <v>46160</v>
      </c>
      <c r="B83" s="4" t="s">
        <v>6</v>
      </c>
      <c r="C83" s="23">
        <v>45</v>
      </c>
      <c r="E83" s="19" t="s">
        <v>10</v>
      </c>
      <c r="F83" s="9" t="s">
        <v>11</v>
      </c>
      <c r="G83" t="s">
        <v>13</v>
      </c>
      <c r="H83" t="s">
        <v>399</v>
      </c>
    </row>
    <row r="84" spans="1:8" x14ac:dyDescent="0.25">
      <c r="A84" s="18">
        <v>46160</v>
      </c>
      <c r="B84" s="4" t="s">
        <v>6</v>
      </c>
      <c r="C84" s="23">
        <v>15</v>
      </c>
      <c r="D84" s="2">
        <v>8</v>
      </c>
      <c r="E84" s="19" t="s">
        <v>10</v>
      </c>
      <c r="F84" s="9" t="s">
        <v>11</v>
      </c>
      <c r="G84" t="s">
        <v>13</v>
      </c>
      <c r="H84" t="s">
        <v>84</v>
      </c>
    </row>
    <row r="85" spans="1:8" x14ac:dyDescent="0.25">
      <c r="A85" s="18">
        <v>46160</v>
      </c>
      <c r="B85" s="4" t="s">
        <v>8</v>
      </c>
      <c r="C85" s="23">
        <v>70</v>
      </c>
      <c r="D85" s="2">
        <v>8</v>
      </c>
      <c r="E85" s="19" t="s">
        <v>4</v>
      </c>
      <c r="F85" s="9" t="s">
        <v>31</v>
      </c>
      <c r="G85" t="s">
        <v>7</v>
      </c>
      <c r="H85" t="s">
        <v>400</v>
      </c>
    </row>
    <row r="86" spans="1:8" x14ac:dyDescent="0.25">
      <c r="A86" s="18">
        <v>46160</v>
      </c>
      <c r="B86" s="4" t="s">
        <v>3</v>
      </c>
      <c r="C86" s="23">
        <v>10</v>
      </c>
      <c r="D86" s="2">
        <v>8</v>
      </c>
      <c r="E86" s="19" t="s">
        <v>10</v>
      </c>
      <c r="F86" s="9" t="s">
        <v>24</v>
      </c>
      <c r="G86" s="7" t="s">
        <v>25</v>
      </c>
    </row>
    <row r="87" spans="1:8" x14ac:dyDescent="0.25">
      <c r="A87" s="18">
        <v>46161</v>
      </c>
      <c r="B87" s="4" t="s">
        <v>6</v>
      </c>
      <c r="C87" s="23">
        <v>0</v>
      </c>
      <c r="D87" s="2">
        <v>8</v>
      </c>
    </row>
    <row r="88" spans="1:8" x14ac:dyDescent="0.25">
      <c r="A88" s="18">
        <v>46161</v>
      </c>
      <c r="B88" s="4" t="s">
        <v>8</v>
      </c>
      <c r="C88" s="23">
        <v>15</v>
      </c>
      <c r="E88" s="19" t="s">
        <v>10</v>
      </c>
      <c r="F88" s="9" t="s">
        <v>16</v>
      </c>
      <c r="G88" t="s">
        <v>13</v>
      </c>
      <c r="H88" t="s">
        <v>401</v>
      </c>
    </row>
    <row r="89" spans="1:8" x14ac:dyDescent="0.25">
      <c r="A89" s="18">
        <v>46161</v>
      </c>
      <c r="B89" s="4" t="s">
        <v>8</v>
      </c>
      <c r="C89" s="23">
        <v>10</v>
      </c>
      <c r="D89" s="2">
        <v>8</v>
      </c>
      <c r="E89" s="19" t="s">
        <v>10</v>
      </c>
      <c r="F89" s="9" t="s">
        <v>11</v>
      </c>
      <c r="G89" t="s">
        <v>13</v>
      </c>
      <c r="H89" t="s">
        <v>84</v>
      </c>
    </row>
    <row r="90" spans="1:8" x14ac:dyDescent="0.25">
      <c r="A90" s="18">
        <v>46161</v>
      </c>
      <c r="B90" s="4" t="s">
        <v>3</v>
      </c>
      <c r="C90" s="23">
        <v>10</v>
      </c>
      <c r="E90" s="19" t="s">
        <v>10</v>
      </c>
      <c r="F90" s="9" t="s">
        <v>11</v>
      </c>
      <c r="G90" t="s">
        <v>13</v>
      </c>
      <c r="H90" t="s">
        <v>103</v>
      </c>
    </row>
    <row r="91" spans="1:8" x14ac:dyDescent="0.25">
      <c r="A91" s="18">
        <v>46161</v>
      </c>
      <c r="B91" s="4" t="s">
        <v>3</v>
      </c>
      <c r="C91" s="23">
        <v>10</v>
      </c>
      <c r="D91" s="2">
        <v>8</v>
      </c>
      <c r="E91" s="19" t="s">
        <v>10</v>
      </c>
      <c r="F91" s="9" t="s">
        <v>11</v>
      </c>
      <c r="G91" t="s">
        <v>13</v>
      </c>
      <c r="H91" t="s">
        <v>402</v>
      </c>
    </row>
    <row r="92" spans="1:8" x14ac:dyDescent="0.25">
      <c r="A92" s="18">
        <v>46162</v>
      </c>
      <c r="B92" s="4" t="s">
        <v>6</v>
      </c>
      <c r="C92" s="23">
        <v>10</v>
      </c>
      <c r="E92" s="19" t="s">
        <v>10</v>
      </c>
      <c r="F92" s="9" t="s">
        <v>11</v>
      </c>
      <c r="G92" t="s">
        <v>13</v>
      </c>
      <c r="H92" t="s">
        <v>103</v>
      </c>
    </row>
    <row r="93" spans="1:8" x14ac:dyDescent="0.25">
      <c r="A93" s="18">
        <v>46162</v>
      </c>
      <c r="B93" s="4" t="s">
        <v>6</v>
      </c>
      <c r="C93" s="23">
        <v>5</v>
      </c>
      <c r="D93" s="2">
        <v>8</v>
      </c>
      <c r="E93" s="19" t="s">
        <v>10</v>
      </c>
      <c r="F93" s="9" t="s">
        <v>11</v>
      </c>
      <c r="G93" t="s">
        <v>13</v>
      </c>
      <c r="H93" t="s">
        <v>75</v>
      </c>
    </row>
    <row r="94" spans="1:8" x14ac:dyDescent="0.25">
      <c r="A94" s="18">
        <v>46162</v>
      </c>
      <c r="B94" s="4" t="s">
        <v>8</v>
      </c>
      <c r="C94" s="23">
        <v>10</v>
      </c>
      <c r="E94" s="19" t="s">
        <v>10</v>
      </c>
      <c r="F94" s="9" t="s">
        <v>11</v>
      </c>
      <c r="G94" t="s">
        <v>13</v>
      </c>
      <c r="H94" t="s">
        <v>75</v>
      </c>
    </row>
    <row r="95" spans="1:8" x14ac:dyDescent="0.25">
      <c r="A95" s="18">
        <v>46162</v>
      </c>
      <c r="B95" s="4" t="s">
        <v>8</v>
      </c>
      <c r="C95" s="23">
        <v>10</v>
      </c>
      <c r="E95" s="19" t="s">
        <v>10</v>
      </c>
      <c r="F95" s="9" t="s">
        <v>11</v>
      </c>
      <c r="G95" t="s">
        <v>13</v>
      </c>
      <c r="H95" t="s">
        <v>75</v>
      </c>
    </row>
    <row r="96" spans="1:8" x14ac:dyDescent="0.25">
      <c r="A96" s="18">
        <v>46162</v>
      </c>
      <c r="B96" s="4" t="s">
        <v>8</v>
      </c>
      <c r="C96" s="23">
        <v>10</v>
      </c>
      <c r="D96" s="2">
        <v>8</v>
      </c>
      <c r="E96" s="19" t="s">
        <v>10</v>
      </c>
      <c r="F96" s="9" t="s">
        <v>11</v>
      </c>
      <c r="G96" t="s">
        <v>13</v>
      </c>
      <c r="H96" t="s">
        <v>75</v>
      </c>
    </row>
    <row r="97" spans="1:8" x14ac:dyDescent="0.25">
      <c r="A97" s="18">
        <v>46162</v>
      </c>
      <c r="B97" s="4" t="s">
        <v>3</v>
      </c>
      <c r="C97" s="23">
        <v>0</v>
      </c>
      <c r="D97" s="2">
        <v>8</v>
      </c>
    </row>
    <row r="98" spans="1:8" x14ac:dyDescent="0.25">
      <c r="A98" s="18">
        <v>46163</v>
      </c>
      <c r="B98" s="4" t="s">
        <v>6</v>
      </c>
      <c r="C98" s="23">
        <v>25</v>
      </c>
      <c r="E98" t="s">
        <v>33</v>
      </c>
      <c r="F98" t="s">
        <v>11</v>
      </c>
      <c r="G98" t="s">
        <v>34</v>
      </c>
      <c r="H98" t="s">
        <v>403</v>
      </c>
    </row>
    <row r="99" spans="1:8" x14ac:dyDescent="0.25">
      <c r="A99" s="18">
        <v>46163</v>
      </c>
      <c r="B99" s="4" t="s">
        <v>6</v>
      </c>
      <c r="C99" s="23">
        <v>15</v>
      </c>
      <c r="E99" t="s">
        <v>37</v>
      </c>
      <c r="F99" t="s">
        <v>11</v>
      </c>
      <c r="G99" t="s">
        <v>38</v>
      </c>
      <c r="H99" t="s">
        <v>404</v>
      </c>
    </row>
    <row r="100" spans="1:8" x14ac:dyDescent="0.25">
      <c r="A100" s="18">
        <v>46163</v>
      </c>
      <c r="B100" s="4" t="s">
        <v>6</v>
      </c>
      <c r="C100" s="23">
        <v>10</v>
      </c>
      <c r="D100" s="2">
        <v>8</v>
      </c>
      <c r="E100" s="19" t="s">
        <v>10</v>
      </c>
      <c r="F100" s="9" t="s">
        <v>11</v>
      </c>
      <c r="G100" t="s">
        <v>13</v>
      </c>
      <c r="H100" t="s">
        <v>75</v>
      </c>
    </row>
    <row r="101" spans="1:8" x14ac:dyDescent="0.25">
      <c r="A101" s="18">
        <v>46163</v>
      </c>
      <c r="B101" s="4" t="s">
        <v>8</v>
      </c>
      <c r="C101" s="23">
        <v>15</v>
      </c>
      <c r="E101" t="s">
        <v>10</v>
      </c>
      <c r="F101" t="s">
        <v>28</v>
      </c>
      <c r="G101" t="s">
        <v>18</v>
      </c>
      <c r="H101" t="s">
        <v>405</v>
      </c>
    </row>
    <row r="102" spans="1:8" x14ac:dyDescent="0.25">
      <c r="A102" s="18">
        <v>46163</v>
      </c>
      <c r="B102" s="4" t="s">
        <v>8</v>
      </c>
      <c r="C102" s="23">
        <v>10</v>
      </c>
      <c r="D102" s="2">
        <v>8</v>
      </c>
      <c r="E102" s="19" t="s">
        <v>10</v>
      </c>
      <c r="F102" s="9" t="s">
        <v>16</v>
      </c>
      <c r="G102" t="s">
        <v>13</v>
      </c>
      <c r="H102" t="s">
        <v>406</v>
      </c>
    </row>
    <row r="103" spans="1:8" x14ac:dyDescent="0.25">
      <c r="A103" s="18">
        <v>46163</v>
      </c>
      <c r="B103" s="4" t="s">
        <v>3</v>
      </c>
      <c r="C103" s="23">
        <v>25</v>
      </c>
      <c r="E103" t="s">
        <v>10</v>
      </c>
      <c r="F103" t="s">
        <v>21</v>
      </c>
      <c r="G103" t="s">
        <v>18</v>
      </c>
      <c r="H103" t="s">
        <v>407</v>
      </c>
    </row>
    <row r="104" spans="1:8" x14ac:dyDescent="0.25">
      <c r="A104" s="18">
        <v>46163</v>
      </c>
      <c r="B104" s="4" t="s">
        <v>3</v>
      </c>
      <c r="C104" s="23">
        <v>15</v>
      </c>
      <c r="E104" s="19" t="s">
        <v>10</v>
      </c>
      <c r="F104" s="9" t="s">
        <v>11</v>
      </c>
      <c r="G104" t="s">
        <v>13</v>
      </c>
      <c r="H104" t="s">
        <v>75</v>
      </c>
    </row>
    <row r="105" spans="1:8" x14ac:dyDescent="0.25">
      <c r="A105" s="18">
        <v>46163</v>
      </c>
      <c r="B105" s="4" t="s">
        <v>3</v>
      </c>
      <c r="C105" s="23">
        <v>15</v>
      </c>
      <c r="D105" s="2">
        <v>8</v>
      </c>
      <c r="E105" t="s">
        <v>10</v>
      </c>
      <c r="F105" t="s">
        <v>210</v>
      </c>
      <c r="G105" t="s">
        <v>18</v>
      </c>
      <c r="H105" t="s">
        <v>408</v>
      </c>
    </row>
    <row r="106" spans="1:8" x14ac:dyDescent="0.25">
      <c r="A106" s="18">
        <v>46164</v>
      </c>
      <c r="B106" s="4" t="s">
        <v>6</v>
      </c>
      <c r="C106" s="23">
        <v>30</v>
      </c>
      <c r="E106" s="19" t="s">
        <v>10</v>
      </c>
      <c r="F106" s="9" t="s">
        <v>28</v>
      </c>
      <c r="G106" t="s">
        <v>18</v>
      </c>
      <c r="H106" t="s">
        <v>409</v>
      </c>
    </row>
    <row r="107" spans="1:8" x14ac:dyDescent="0.25">
      <c r="A107" s="18">
        <v>46164</v>
      </c>
      <c r="B107" s="4" t="s">
        <v>6</v>
      </c>
      <c r="C107" s="23">
        <v>30</v>
      </c>
      <c r="E107" t="s">
        <v>10</v>
      </c>
      <c r="F107" t="s">
        <v>21</v>
      </c>
      <c r="G107" t="s">
        <v>18</v>
      </c>
      <c r="H107" t="s">
        <v>410</v>
      </c>
    </row>
    <row r="108" spans="1:8" x14ac:dyDescent="0.25">
      <c r="A108" s="18">
        <v>46164</v>
      </c>
      <c r="B108" s="4" t="s">
        <v>6</v>
      </c>
      <c r="C108" s="23">
        <v>30</v>
      </c>
      <c r="D108" s="2">
        <v>8</v>
      </c>
      <c r="E108" s="19" t="s">
        <v>4</v>
      </c>
      <c r="F108" s="9" t="s">
        <v>210</v>
      </c>
      <c r="G108" t="s">
        <v>5</v>
      </c>
      <c r="H108" t="s">
        <v>411</v>
      </c>
    </row>
    <row r="109" spans="1:8" x14ac:dyDescent="0.25">
      <c r="A109" s="18">
        <v>46164</v>
      </c>
      <c r="B109" s="4" t="s">
        <v>8</v>
      </c>
      <c r="C109" s="23">
        <v>40</v>
      </c>
      <c r="E109" t="s">
        <v>10</v>
      </c>
      <c r="F109" t="s">
        <v>21</v>
      </c>
      <c r="G109" s="7" t="s">
        <v>22</v>
      </c>
      <c r="H109" t="s">
        <v>412</v>
      </c>
    </row>
    <row r="110" spans="1:8" x14ac:dyDescent="0.25">
      <c r="A110" s="18">
        <v>46164</v>
      </c>
      <c r="B110" s="4" t="s">
        <v>8</v>
      </c>
      <c r="C110" s="23">
        <v>15</v>
      </c>
      <c r="E110" t="s">
        <v>10</v>
      </c>
      <c r="F110" t="s">
        <v>16</v>
      </c>
      <c r="G110" t="s">
        <v>13</v>
      </c>
      <c r="H110" t="s">
        <v>413</v>
      </c>
    </row>
    <row r="111" spans="1:8" x14ac:dyDescent="0.25">
      <c r="A111" s="18">
        <v>46164</v>
      </c>
      <c r="B111" s="4" t="s">
        <v>8</v>
      </c>
      <c r="C111" s="23">
        <v>10</v>
      </c>
      <c r="E111" t="s">
        <v>10</v>
      </c>
      <c r="F111" t="s">
        <v>11</v>
      </c>
      <c r="G111" t="s">
        <v>13</v>
      </c>
    </row>
    <row r="112" spans="1:8" x14ac:dyDescent="0.25">
      <c r="A112" s="18">
        <v>46164</v>
      </c>
      <c r="B112" s="4" t="s">
        <v>8</v>
      </c>
      <c r="C112" s="23">
        <v>20</v>
      </c>
      <c r="D112" s="2">
        <v>8</v>
      </c>
      <c r="E112" t="s">
        <v>10</v>
      </c>
      <c r="F112" t="s">
        <v>31</v>
      </c>
      <c r="G112" t="s">
        <v>18</v>
      </c>
      <c r="H112" t="s">
        <v>414</v>
      </c>
    </row>
    <row r="113" spans="1:8" x14ac:dyDescent="0.25">
      <c r="A113" s="18">
        <v>46164</v>
      </c>
      <c r="B113" s="4" t="s">
        <v>3</v>
      </c>
      <c r="C113" s="23">
        <v>10</v>
      </c>
      <c r="E113" t="s">
        <v>10</v>
      </c>
      <c r="F113" t="s">
        <v>11</v>
      </c>
      <c r="G113" t="s">
        <v>13</v>
      </c>
    </row>
    <row r="114" spans="1:8" x14ac:dyDescent="0.25">
      <c r="A114" s="18">
        <v>46164</v>
      </c>
      <c r="B114" s="4" t="s">
        <v>3</v>
      </c>
      <c r="C114" s="23">
        <v>10</v>
      </c>
      <c r="D114" s="2">
        <v>8</v>
      </c>
      <c r="E114" t="s">
        <v>10</v>
      </c>
      <c r="F114" t="s">
        <v>11</v>
      </c>
      <c r="G114" t="s">
        <v>13</v>
      </c>
    </row>
    <row r="115" spans="1:8" x14ac:dyDescent="0.25">
      <c r="A115" s="18">
        <v>46165</v>
      </c>
      <c r="B115" s="4" t="s">
        <v>6</v>
      </c>
      <c r="C115" s="23">
        <v>25</v>
      </c>
      <c r="D115" s="2">
        <v>8</v>
      </c>
      <c r="E115" s="19" t="s">
        <v>4</v>
      </c>
      <c r="F115" s="9" t="s">
        <v>210</v>
      </c>
      <c r="G115" t="s">
        <v>5</v>
      </c>
      <c r="H115" t="s">
        <v>415</v>
      </c>
    </row>
    <row r="116" spans="1:8" x14ac:dyDescent="0.25">
      <c r="A116" s="18">
        <v>46165</v>
      </c>
      <c r="B116" s="4" t="s">
        <v>8</v>
      </c>
      <c r="C116" s="23">
        <v>10</v>
      </c>
      <c r="E116" t="s">
        <v>10</v>
      </c>
      <c r="F116" t="s">
        <v>11</v>
      </c>
      <c r="G116" s="9" t="s">
        <v>112</v>
      </c>
    </row>
    <row r="117" spans="1:8" x14ac:dyDescent="0.25">
      <c r="A117" s="18">
        <v>46165</v>
      </c>
      <c r="B117" s="4" t="s">
        <v>8</v>
      </c>
      <c r="C117" s="23">
        <v>10</v>
      </c>
      <c r="E117" t="s">
        <v>10</v>
      </c>
      <c r="F117" t="s">
        <v>11</v>
      </c>
      <c r="G117" t="s">
        <v>13</v>
      </c>
      <c r="H117" t="s">
        <v>416</v>
      </c>
    </row>
    <row r="118" spans="1:8" x14ac:dyDescent="0.25">
      <c r="A118" s="18">
        <v>46165</v>
      </c>
      <c r="B118" s="4" t="s">
        <v>8</v>
      </c>
      <c r="C118" s="23">
        <v>15</v>
      </c>
      <c r="D118" s="2">
        <v>8</v>
      </c>
      <c r="E118" t="s">
        <v>10</v>
      </c>
      <c r="F118" t="s">
        <v>28</v>
      </c>
      <c r="G118" t="s">
        <v>18</v>
      </c>
      <c r="H118" t="s">
        <v>417</v>
      </c>
    </row>
    <row r="119" spans="1:8" x14ac:dyDescent="0.25">
      <c r="A119" s="18">
        <v>46165</v>
      </c>
      <c r="B119" s="4" t="s">
        <v>3</v>
      </c>
      <c r="C119" s="23">
        <v>10</v>
      </c>
      <c r="E119" t="s">
        <v>10</v>
      </c>
      <c r="F119" t="s">
        <v>16</v>
      </c>
      <c r="G119" t="s">
        <v>13</v>
      </c>
      <c r="H119" t="s">
        <v>418</v>
      </c>
    </row>
    <row r="120" spans="1:8" x14ac:dyDescent="0.25">
      <c r="A120" s="18">
        <v>46165</v>
      </c>
      <c r="B120" s="4" t="s">
        <v>3</v>
      </c>
      <c r="C120" s="23">
        <v>10</v>
      </c>
      <c r="D120" s="2">
        <v>8</v>
      </c>
      <c r="E120" t="s">
        <v>10</v>
      </c>
      <c r="F120" t="s">
        <v>16</v>
      </c>
      <c r="G120" t="s">
        <v>13</v>
      </c>
      <c r="H120" t="s">
        <v>419</v>
      </c>
    </row>
    <row r="121" spans="1:8" x14ac:dyDescent="0.25">
      <c r="A121" s="18">
        <v>46166</v>
      </c>
      <c r="B121" s="4" t="s">
        <v>8</v>
      </c>
      <c r="C121" s="23">
        <v>10</v>
      </c>
      <c r="E121" t="s">
        <v>10</v>
      </c>
      <c r="F121" t="s">
        <v>11</v>
      </c>
      <c r="G121" t="s">
        <v>13</v>
      </c>
      <c r="H121" t="s">
        <v>75</v>
      </c>
    </row>
    <row r="122" spans="1:8" x14ac:dyDescent="0.25">
      <c r="A122" s="18">
        <v>46166</v>
      </c>
      <c r="B122" s="4" t="s">
        <v>8</v>
      </c>
      <c r="C122" s="23">
        <v>10</v>
      </c>
      <c r="D122" s="2">
        <v>8</v>
      </c>
      <c r="E122" t="s">
        <v>10</v>
      </c>
      <c r="F122" t="s">
        <v>28</v>
      </c>
      <c r="G122" t="s">
        <v>18</v>
      </c>
      <c r="H122" t="s">
        <v>420</v>
      </c>
    </row>
    <row r="123" spans="1:8" x14ac:dyDescent="0.25">
      <c r="A123" s="18">
        <v>25</v>
      </c>
      <c r="B123" s="4" t="s">
        <v>8</v>
      </c>
      <c r="C123" s="23">
        <v>15</v>
      </c>
      <c r="E123" t="s">
        <v>10</v>
      </c>
      <c r="F123" t="s">
        <v>16</v>
      </c>
      <c r="G123" t="s">
        <v>13</v>
      </c>
      <c r="H123" t="s">
        <v>421</v>
      </c>
    </row>
    <row r="124" spans="1:8" x14ac:dyDescent="0.25">
      <c r="A124" s="18">
        <v>25</v>
      </c>
      <c r="B124" s="4" t="s">
        <v>8</v>
      </c>
      <c r="C124" s="23">
        <v>40</v>
      </c>
      <c r="D124" s="2">
        <v>8</v>
      </c>
      <c r="E124" t="s">
        <v>4</v>
      </c>
      <c r="F124" t="s">
        <v>29</v>
      </c>
      <c r="G124" t="s">
        <v>5</v>
      </c>
      <c r="H124" t="s">
        <v>422</v>
      </c>
    </row>
    <row r="125" spans="1:8" x14ac:dyDescent="0.25">
      <c r="A125" s="18">
        <v>46168</v>
      </c>
      <c r="B125" s="4" t="s">
        <v>8</v>
      </c>
      <c r="C125" s="23">
        <v>30</v>
      </c>
      <c r="E125" t="s">
        <v>4</v>
      </c>
      <c r="F125" t="s">
        <v>21</v>
      </c>
      <c r="G125" t="s">
        <v>5</v>
      </c>
      <c r="H125" t="s">
        <v>423</v>
      </c>
    </row>
    <row r="126" spans="1:8" x14ac:dyDescent="0.25">
      <c r="A126" s="18">
        <v>46168</v>
      </c>
      <c r="B126" s="4" t="s">
        <v>8</v>
      </c>
      <c r="C126" s="23">
        <v>10</v>
      </c>
      <c r="D126" s="2">
        <v>8</v>
      </c>
      <c r="E126" t="s">
        <v>10</v>
      </c>
      <c r="F126" t="s">
        <v>11</v>
      </c>
      <c r="G126" t="s">
        <v>13</v>
      </c>
      <c r="H126" t="s">
        <v>424</v>
      </c>
    </row>
    <row r="127" spans="1:8" x14ac:dyDescent="0.25">
      <c r="A127" s="18">
        <v>46168</v>
      </c>
      <c r="B127" s="4" t="s">
        <v>3</v>
      </c>
      <c r="C127" s="23">
        <v>30</v>
      </c>
      <c r="E127" t="s">
        <v>4</v>
      </c>
      <c r="F127" t="s">
        <v>29</v>
      </c>
      <c r="G127" t="s">
        <v>5</v>
      </c>
      <c r="H127" t="s">
        <v>425</v>
      </c>
    </row>
    <row r="128" spans="1:8" x14ac:dyDescent="0.25">
      <c r="A128" s="18">
        <v>46168</v>
      </c>
      <c r="B128" s="4" t="s">
        <v>3</v>
      </c>
      <c r="C128" s="23">
        <v>10</v>
      </c>
      <c r="D128" s="2">
        <v>8</v>
      </c>
      <c r="E128" t="s">
        <v>10</v>
      </c>
      <c r="F128" t="s">
        <v>16</v>
      </c>
      <c r="G128" t="s">
        <v>13</v>
      </c>
      <c r="H128" t="s">
        <v>426</v>
      </c>
    </row>
    <row r="129" spans="1:8" x14ac:dyDescent="0.25">
      <c r="A129" s="18">
        <v>46168</v>
      </c>
      <c r="B129" s="4" t="s">
        <v>6</v>
      </c>
      <c r="C129" s="23">
        <v>10</v>
      </c>
      <c r="E129" t="s">
        <v>10</v>
      </c>
      <c r="F129" t="s">
        <v>16</v>
      </c>
      <c r="G129" t="s">
        <v>13</v>
      </c>
      <c r="H129" t="s">
        <v>427</v>
      </c>
    </row>
    <row r="130" spans="1:8" x14ac:dyDescent="0.25">
      <c r="A130" s="18">
        <v>46168</v>
      </c>
      <c r="B130" s="4" t="s">
        <v>6</v>
      </c>
      <c r="C130" s="23">
        <v>10</v>
      </c>
      <c r="E130" t="s">
        <v>10</v>
      </c>
      <c r="F130" t="s">
        <v>16</v>
      </c>
      <c r="G130" t="s">
        <v>13</v>
      </c>
      <c r="H130" t="s">
        <v>428</v>
      </c>
    </row>
    <row r="131" spans="1:8" x14ac:dyDescent="0.25">
      <c r="A131" s="18">
        <v>46168</v>
      </c>
      <c r="B131" s="4" t="s">
        <v>6</v>
      </c>
      <c r="C131" s="23">
        <v>10</v>
      </c>
      <c r="E131" t="s">
        <v>10</v>
      </c>
      <c r="F131" t="s">
        <v>11</v>
      </c>
      <c r="G131" t="s">
        <v>13</v>
      </c>
    </row>
    <row r="132" spans="1:8" x14ac:dyDescent="0.25">
      <c r="A132" s="18">
        <v>46168</v>
      </c>
      <c r="B132" s="4" t="s">
        <v>6</v>
      </c>
      <c r="C132" s="23">
        <v>10</v>
      </c>
      <c r="D132" s="2">
        <v>8</v>
      </c>
      <c r="E132" t="s">
        <v>10</v>
      </c>
      <c r="F132" t="s">
        <v>11</v>
      </c>
      <c r="G132" t="s">
        <v>13</v>
      </c>
    </row>
    <row r="133" spans="1:8" x14ac:dyDescent="0.25">
      <c r="A133" s="18">
        <v>46169</v>
      </c>
      <c r="B133" s="4" t="s">
        <v>8</v>
      </c>
      <c r="C133" s="23">
        <v>25</v>
      </c>
      <c r="E133" t="s">
        <v>4</v>
      </c>
      <c r="F133" t="s">
        <v>28</v>
      </c>
      <c r="G133" t="s">
        <v>7</v>
      </c>
      <c r="H133" t="s">
        <v>429</v>
      </c>
    </row>
    <row r="134" spans="1:8" x14ac:dyDescent="0.25">
      <c r="A134" s="18">
        <v>46169</v>
      </c>
      <c r="B134" s="4" t="s">
        <v>8</v>
      </c>
      <c r="C134" s="23">
        <v>25</v>
      </c>
      <c r="E134" t="s">
        <v>4</v>
      </c>
      <c r="F134" t="s">
        <v>17</v>
      </c>
      <c r="G134" t="s">
        <v>5</v>
      </c>
      <c r="H134" t="s">
        <v>430</v>
      </c>
    </row>
    <row r="135" spans="1:8" x14ac:dyDescent="0.25">
      <c r="A135" s="18">
        <v>46169</v>
      </c>
      <c r="B135" s="4" t="s">
        <v>8</v>
      </c>
      <c r="C135" s="23">
        <v>10</v>
      </c>
      <c r="E135" t="s">
        <v>10</v>
      </c>
      <c r="F135" t="s">
        <v>11</v>
      </c>
      <c r="G135" t="s">
        <v>13</v>
      </c>
      <c r="H135" t="s">
        <v>424</v>
      </c>
    </row>
    <row r="136" spans="1:8" x14ac:dyDescent="0.25">
      <c r="A136" s="18">
        <v>46169</v>
      </c>
      <c r="B136" s="4" t="s">
        <v>8</v>
      </c>
      <c r="C136" s="23">
        <v>10</v>
      </c>
      <c r="E136" t="s">
        <v>10</v>
      </c>
      <c r="F136" t="s">
        <v>11</v>
      </c>
      <c r="G136" t="s">
        <v>13</v>
      </c>
      <c r="H136" t="s">
        <v>424</v>
      </c>
    </row>
    <row r="137" spans="1:8" x14ac:dyDescent="0.25">
      <c r="A137" s="18">
        <v>46169</v>
      </c>
      <c r="B137" s="4" t="s">
        <v>8</v>
      </c>
      <c r="C137" s="23">
        <v>10</v>
      </c>
      <c r="D137" s="2">
        <v>8</v>
      </c>
      <c r="E137" t="s">
        <v>10</v>
      </c>
      <c r="F137" t="s">
        <v>11</v>
      </c>
      <c r="G137" t="s">
        <v>13</v>
      </c>
      <c r="H137" t="s">
        <v>424</v>
      </c>
    </row>
    <row r="138" spans="1:8" x14ac:dyDescent="0.25">
      <c r="A138" s="18">
        <v>46169</v>
      </c>
      <c r="B138" s="4" t="s">
        <v>3</v>
      </c>
      <c r="C138" s="23">
        <v>10</v>
      </c>
      <c r="E138" t="s">
        <v>10</v>
      </c>
      <c r="F138" t="s">
        <v>28</v>
      </c>
      <c r="G138" t="s">
        <v>18</v>
      </c>
      <c r="H138" t="s">
        <v>431</v>
      </c>
    </row>
    <row r="139" spans="1:8" x14ac:dyDescent="0.25">
      <c r="A139" s="18">
        <v>46169</v>
      </c>
      <c r="B139" s="4" t="s">
        <v>3</v>
      </c>
      <c r="C139" s="23">
        <v>5</v>
      </c>
      <c r="E139" t="s">
        <v>10</v>
      </c>
      <c r="F139" t="s">
        <v>11</v>
      </c>
      <c r="G139" t="s">
        <v>13</v>
      </c>
    </row>
    <row r="140" spans="1:8" x14ac:dyDescent="0.25">
      <c r="A140" s="18">
        <v>46169</v>
      </c>
      <c r="B140" s="4" t="s">
        <v>3</v>
      </c>
      <c r="C140" s="23">
        <v>5</v>
      </c>
      <c r="D140" s="2">
        <v>8</v>
      </c>
      <c r="E140" t="s">
        <v>10</v>
      </c>
      <c r="F140" t="s">
        <v>11</v>
      </c>
      <c r="G140" t="s">
        <v>13</v>
      </c>
    </row>
    <row r="141" spans="1:8" x14ac:dyDescent="0.25">
      <c r="A141" s="18">
        <v>46169</v>
      </c>
      <c r="B141" s="4" t="s">
        <v>6</v>
      </c>
      <c r="C141" s="23">
        <v>15</v>
      </c>
      <c r="D141" s="2">
        <v>8</v>
      </c>
      <c r="E141" t="s">
        <v>10</v>
      </c>
      <c r="F141" t="s">
        <v>11</v>
      </c>
      <c r="G141" t="s">
        <v>13</v>
      </c>
      <c r="H141" t="s">
        <v>432</v>
      </c>
    </row>
    <row r="142" spans="1:8" x14ac:dyDescent="0.25">
      <c r="A142" s="18">
        <v>46170</v>
      </c>
      <c r="B142" s="4" t="s">
        <v>8</v>
      </c>
      <c r="C142" s="23">
        <v>10</v>
      </c>
      <c r="E142" t="s">
        <v>10</v>
      </c>
      <c r="F142" t="s">
        <v>21</v>
      </c>
      <c r="G142" t="s">
        <v>18</v>
      </c>
    </row>
    <row r="143" spans="1:8" x14ac:dyDescent="0.25">
      <c r="A143" s="18">
        <v>46170</v>
      </c>
      <c r="B143" s="4" t="s">
        <v>8</v>
      </c>
      <c r="C143" s="23">
        <v>5</v>
      </c>
      <c r="D143" s="2">
        <v>8</v>
      </c>
      <c r="E143" t="s">
        <v>10</v>
      </c>
      <c r="F143" t="s">
        <v>11</v>
      </c>
      <c r="G143" t="s">
        <v>13</v>
      </c>
      <c r="H143" t="s">
        <v>75</v>
      </c>
    </row>
    <row r="144" spans="1:8" x14ac:dyDescent="0.25">
      <c r="A144" s="18">
        <v>46170</v>
      </c>
      <c r="B144" s="4" t="s">
        <v>3</v>
      </c>
      <c r="C144" s="23">
        <v>5</v>
      </c>
      <c r="E144" t="s">
        <v>10</v>
      </c>
      <c r="F144" t="s">
        <v>11</v>
      </c>
      <c r="G144" t="s">
        <v>13</v>
      </c>
      <c r="H144" t="s">
        <v>75</v>
      </c>
    </row>
    <row r="145" spans="1:8" x14ac:dyDescent="0.25">
      <c r="A145" s="18">
        <v>46170</v>
      </c>
      <c r="B145" s="4" t="s">
        <v>3</v>
      </c>
      <c r="C145" s="23">
        <v>5</v>
      </c>
      <c r="E145" t="s">
        <v>10</v>
      </c>
      <c r="F145" t="s">
        <v>11</v>
      </c>
      <c r="G145" t="s">
        <v>13</v>
      </c>
      <c r="H145" t="s">
        <v>75</v>
      </c>
    </row>
    <row r="146" spans="1:8" x14ac:dyDescent="0.25">
      <c r="A146" s="18">
        <v>46170</v>
      </c>
      <c r="B146" s="4" t="s">
        <v>3</v>
      </c>
      <c r="C146" s="23">
        <v>5</v>
      </c>
      <c r="D146" s="2">
        <v>8</v>
      </c>
      <c r="E146" t="s">
        <v>10</v>
      </c>
      <c r="F146" t="s">
        <v>11</v>
      </c>
      <c r="G146" t="s">
        <v>13</v>
      </c>
      <c r="H146" t="s">
        <v>75</v>
      </c>
    </row>
    <row r="147" spans="1:8" x14ac:dyDescent="0.25">
      <c r="A147" s="18">
        <v>46170</v>
      </c>
      <c r="B147" s="4" t="s">
        <v>6</v>
      </c>
      <c r="C147" s="23">
        <v>15</v>
      </c>
      <c r="E147" t="s">
        <v>10</v>
      </c>
      <c r="F147" t="s">
        <v>11</v>
      </c>
      <c r="G147" t="s">
        <v>13</v>
      </c>
    </row>
    <row r="148" spans="1:8" x14ac:dyDescent="0.25">
      <c r="A148" s="18">
        <v>46170</v>
      </c>
      <c r="B148" s="4" t="s">
        <v>6</v>
      </c>
      <c r="C148" s="23">
        <v>5</v>
      </c>
      <c r="D148" s="2">
        <v>8</v>
      </c>
      <c r="E148" t="s">
        <v>10</v>
      </c>
      <c r="F148" t="s">
        <v>11</v>
      </c>
      <c r="G148" t="s">
        <v>13</v>
      </c>
    </row>
    <row r="149" spans="1:8" x14ac:dyDescent="0.25">
      <c r="A149" s="18">
        <v>46171</v>
      </c>
      <c r="B149" s="4" t="s">
        <v>8</v>
      </c>
      <c r="C149" s="23">
        <v>10</v>
      </c>
      <c r="E149" t="s">
        <v>10</v>
      </c>
      <c r="F149" t="s">
        <v>16</v>
      </c>
      <c r="G149" t="s">
        <v>13</v>
      </c>
      <c r="H149" t="s">
        <v>433</v>
      </c>
    </row>
    <row r="150" spans="1:8" x14ac:dyDescent="0.25">
      <c r="A150" s="18">
        <v>46171</v>
      </c>
      <c r="B150" s="4" t="s">
        <v>8</v>
      </c>
      <c r="C150" s="23">
        <v>45</v>
      </c>
      <c r="D150" s="2">
        <v>8</v>
      </c>
      <c r="E150" s="19" t="s">
        <v>37</v>
      </c>
      <c r="F150" s="9" t="s">
        <v>11</v>
      </c>
      <c r="G150" s="32" t="s">
        <v>62</v>
      </c>
      <c r="H150" t="s">
        <v>434</v>
      </c>
    </row>
    <row r="151" spans="1:8" x14ac:dyDescent="0.25">
      <c r="A151" s="18">
        <v>46171</v>
      </c>
      <c r="B151" s="4" t="s">
        <v>3</v>
      </c>
      <c r="C151" s="23">
        <v>35</v>
      </c>
      <c r="E151" t="s">
        <v>4</v>
      </c>
      <c r="F151" t="s">
        <v>29</v>
      </c>
      <c r="G151" t="s">
        <v>5</v>
      </c>
      <c r="H151" t="s">
        <v>435</v>
      </c>
    </row>
    <row r="152" spans="1:8" x14ac:dyDescent="0.25">
      <c r="A152" s="18">
        <v>46171</v>
      </c>
      <c r="B152" s="4" t="s">
        <v>3</v>
      </c>
      <c r="C152" s="23">
        <v>10</v>
      </c>
      <c r="D152" s="2">
        <v>8</v>
      </c>
      <c r="E152" t="s">
        <v>10</v>
      </c>
      <c r="F152" t="s">
        <v>11</v>
      </c>
      <c r="G152" t="s">
        <v>13</v>
      </c>
      <c r="H152" t="s">
        <v>75</v>
      </c>
    </row>
    <row r="153" spans="1:8" x14ac:dyDescent="0.25">
      <c r="A153" s="18">
        <v>46171</v>
      </c>
      <c r="B153" s="4" t="s">
        <v>6</v>
      </c>
      <c r="C153" s="23">
        <v>0</v>
      </c>
      <c r="D153" s="2">
        <v>8</v>
      </c>
    </row>
    <row r="154" spans="1:8" x14ac:dyDescent="0.25">
      <c r="A154" s="18">
        <v>46172</v>
      </c>
      <c r="B154" s="4" t="s">
        <v>8</v>
      </c>
      <c r="C154" s="23">
        <v>10</v>
      </c>
      <c r="D154" s="2">
        <v>8</v>
      </c>
      <c r="E154" t="s">
        <v>10</v>
      </c>
      <c r="F154" t="s">
        <v>11</v>
      </c>
      <c r="G154" t="s">
        <v>13</v>
      </c>
      <c r="H154" t="s">
        <v>75</v>
      </c>
    </row>
    <row r="155" spans="1:8" x14ac:dyDescent="0.25">
      <c r="A155" s="18">
        <v>46172</v>
      </c>
      <c r="B155" s="4" t="s">
        <v>3</v>
      </c>
      <c r="C155" s="23">
        <v>10</v>
      </c>
      <c r="E155" t="s">
        <v>10</v>
      </c>
      <c r="F155" t="s">
        <v>16</v>
      </c>
      <c r="G155" t="s">
        <v>13</v>
      </c>
      <c r="H155" t="s">
        <v>436</v>
      </c>
    </row>
    <row r="156" spans="1:8" x14ac:dyDescent="0.25">
      <c r="A156" s="18">
        <v>46172</v>
      </c>
      <c r="B156" s="4" t="s">
        <v>3</v>
      </c>
      <c r="C156" s="23">
        <v>20</v>
      </c>
      <c r="D156" s="2">
        <v>8</v>
      </c>
      <c r="E156" t="s">
        <v>33</v>
      </c>
      <c r="F156" t="s">
        <v>11</v>
      </c>
      <c r="G156" s="9" t="s">
        <v>34</v>
      </c>
      <c r="H156" t="s">
        <v>437</v>
      </c>
    </row>
    <row r="157" spans="1:8" x14ac:dyDescent="0.25">
      <c r="A157" s="18">
        <v>46172</v>
      </c>
      <c r="B157" s="4" t="s">
        <v>6</v>
      </c>
      <c r="C157" s="23">
        <v>15</v>
      </c>
      <c r="E157" t="s">
        <v>10</v>
      </c>
      <c r="F157" t="s">
        <v>21</v>
      </c>
      <c r="G157" t="s">
        <v>18</v>
      </c>
      <c r="H157" t="s">
        <v>438</v>
      </c>
    </row>
    <row r="158" spans="1:8" x14ac:dyDescent="0.25">
      <c r="A158" s="18">
        <v>46172</v>
      </c>
      <c r="B158" s="4" t="s">
        <v>6</v>
      </c>
      <c r="C158" s="23">
        <v>15</v>
      </c>
      <c r="D158" s="2">
        <v>8</v>
      </c>
      <c r="E158" t="s">
        <v>10</v>
      </c>
      <c r="F158" t="s">
        <v>11</v>
      </c>
      <c r="G158" s="7" t="s">
        <v>15</v>
      </c>
    </row>
    <row r="225" spans="1:1" x14ac:dyDescent="0.25">
      <c r="A225" s="18"/>
    </row>
  </sheetData>
  <autoFilter ref="A1:H224" xr:uid="{2B543102-7F5A-4A58-B7F1-6AA5F3CFE946}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475F-6D8A-4CBB-B373-A19B23E96DB0}">
  <sheetPr>
    <tabColor theme="4" tint="0.39997558519241921"/>
  </sheetPr>
  <dimension ref="A1:H232"/>
  <sheetViews>
    <sheetView topLeftCell="C1" zoomScaleNormal="100" workbookViewId="0">
      <selection activeCell="I1" sqref="I1:J1048576"/>
    </sheetView>
  </sheetViews>
  <sheetFormatPr baseColWidth="10" defaultRowHeight="15" x14ac:dyDescent="0.25"/>
  <cols>
    <col min="2" max="2" width="12" bestFit="1" customWidth="1"/>
    <col min="3" max="3" width="16.42578125" customWidth="1"/>
    <col min="4" max="4" width="8.85546875" style="2" bestFit="1" customWidth="1"/>
    <col min="5" max="5" width="16.5703125" bestFit="1" customWidth="1"/>
    <col min="6" max="6" width="18.28515625" customWidth="1"/>
    <col min="7" max="7" width="34.42578125" customWidth="1"/>
    <col min="8" max="8" width="69.5703125" customWidth="1"/>
  </cols>
  <sheetData>
    <row r="1" spans="1:8" s="10" customFormat="1" x14ac:dyDescent="0.25">
      <c r="A1" s="1" t="s">
        <v>40</v>
      </c>
      <c r="B1" s="1" t="s">
        <v>0</v>
      </c>
      <c r="C1" s="1" t="s">
        <v>41</v>
      </c>
      <c r="D1" s="1" t="s">
        <v>42</v>
      </c>
      <c r="E1" s="3" t="s">
        <v>1</v>
      </c>
      <c r="F1" s="3" t="s">
        <v>43</v>
      </c>
      <c r="G1" s="3" t="s">
        <v>2</v>
      </c>
      <c r="H1" s="3" t="s">
        <v>273</v>
      </c>
    </row>
    <row r="2" spans="1:8" x14ac:dyDescent="0.25">
      <c r="A2" s="20">
        <v>46174</v>
      </c>
      <c r="B2" s="21" t="s">
        <v>3</v>
      </c>
      <c r="C2" s="14">
        <v>10</v>
      </c>
      <c r="D2" s="14"/>
      <c r="E2" s="22" t="s">
        <v>10</v>
      </c>
      <c r="F2" s="22" t="s">
        <v>11</v>
      </c>
      <c r="G2" s="22" t="s">
        <v>167</v>
      </c>
      <c r="H2" s="22"/>
    </row>
    <row r="3" spans="1:8" x14ac:dyDescent="0.25">
      <c r="A3" s="34">
        <v>46174</v>
      </c>
      <c r="B3" s="4" t="s">
        <v>3</v>
      </c>
      <c r="C3" s="23">
        <v>10</v>
      </c>
      <c r="D3" s="2">
        <v>8</v>
      </c>
      <c r="E3" s="19" t="s">
        <v>10</v>
      </c>
      <c r="F3" s="9" t="s">
        <v>16</v>
      </c>
      <c r="G3" s="9" t="s">
        <v>13</v>
      </c>
      <c r="H3" t="s">
        <v>274</v>
      </c>
    </row>
    <row r="4" spans="1:8" x14ac:dyDescent="0.25">
      <c r="A4" s="34">
        <v>46174</v>
      </c>
      <c r="B4" s="4" t="s">
        <v>6</v>
      </c>
      <c r="C4" s="23">
        <v>10</v>
      </c>
      <c r="E4" s="19" t="s">
        <v>10</v>
      </c>
      <c r="F4" s="9" t="s">
        <v>16</v>
      </c>
      <c r="G4" s="9" t="s">
        <v>13</v>
      </c>
      <c r="H4" t="s">
        <v>275</v>
      </c>
    </row>
    <row r="5" spans="1:8" x14ac:dyDescent="0.25">
      <c r="A5" s="34">
        <v>46174</v>
      </c>
      <c r="B5" s="4" t="s">
        <v>6</v>
      </c>
      <c r="C5" s="23">
        <v>10</v>
      </c>
      <c r="E5" s="19" t="s">
        <v>10</v>
      </c>
      <c r="F5" s="9" t="s">
        <v>16</v>
      </c>
      <c r="G5" s="9" t="s">
        <v>13</v>
      </c>
      <c r="H5" t="s">
        <v>276</v>
      </c>
    </row>
    <row r="6" spans="1:8" x14ac:dyDescent="0.25">
      <c r="A6" s="34">
        <v>46174</v>
      </c>
      <c r="B6" s="4" t="s">
        <v>6</v>
      </c>
      <c r="C6" s="23">
        <v>10</v>
      </c>
      <c r="E6" s="19" t="s">
        <v>10</v>
      </c>
      <c r="F6" s="9" t="s">
        <v>11</v>
      </c>
      <c r="G6" s="9" t="s">
        <v>13</v>
      </c>
    </row>
    <row r="7" spans="1:8" x14ac:dyDescent="0.25">
      <c r="A7" s="34">
        <v>46174</v>
      </c>
      <c r="B7" s="4" t="s">
        <v>6</v>
      </c>
      <c r="C7" s="23">
        <v>10</v>
      </c>
      <c r="D7" s="2">
        <v>8</v>
      </c>
      <c r="E7" s="19" t="s">
        <v>10</v>
      </c>
      <c r="F7" s="9" t="s">
        <v>11</v>
      </c>
      <c r="G7" s="9" t="s">
        <v>13</v>
      </c>
    </row>
    <row r="8" spans="1:8" x14ac:dyDescent="0.25">
      <c r="A8" s="34">
        <v>46174</v>
      </c>
      <c r="B8" s="4" t="s">
        <v>8</v>
      </c>
      <c r="C8" s="23">
        <v>10</v>
      </c>
      <c r="D8" s="2">
        <v>8</v>
      </c>
      <c r="E8" s="19" t="s">
        <v>10</v>
      </c>
      <c r="F8" s="9" t="s">
        <v>11</v>
      </c>
      <c r="G8" s="9" t="s">
        <v>13</v>
      </c>
    </row>
    <row r="9" spans="1:8" x14ac:dyDescent="0.25">
      <c r="A9" s="18">
        <v>46175</v>
      </c>
      <c r="B9" s="4" t="s">
        <v>3</v>
      </c>
      <c r="C9" s="23">
        <v>30</v>
      </c>
      <c r="E9" s="19" t="s">
        <v>4</v>
      </c>
      <c r="F9" s="9" t="s">
        <v>29</v>
      </c>
      <c r="G9" s="9" t="s">
        <v>7</v>
      </c>
      <c r="H9" t="s">
        <v>277</v>
      </c>
    </row>
    <row r="10" spans="1:8" x14ac:dyDescent="0.25">
      <c r="A10" s="18">
        <v>46175</v>
      </c>
      <c r="B10" s="4" t="s">
        <v>3</v>
      </c>
      <c r="C10" s="23">
        <v>10</v>
      </c>
      <c r="E10" s="19" t="s">
        <v>10</v>
      </c>
      <c r="F10" s="9" t="s">
        <v>11</v>
      </c>
      <c r="G10" s="9" t="s">
        <v>13</v>
      </c>
      <c r="H10" s="29" t="s">
        <v>75</v>
      </c>
    </row>
    <row r="11" spans="1:8" x14ac:dyDescent="0.25">
      <c r="A11" s="18">
        <v>46175</v>
      </c>
      <c r="B11" s="4" t="s">
        <v>3</v>
      </c>
      <c r="C11" s="23">
        <v>10</v>
      </c>
      <c r="E11" s="19" t="s">
        <v>10</v>
      </c>
      <c r="F11" s="9" t="s">
        <v>11</v>
      </c>
      <c r="G11" s="9" t="s">
        <v>13</v>
      </c>
      <c r="H11" s="29" t="s">
        <v>75</v>
      </c>
    </row>
    <row r="12" spans="1:8" x14ac:dyDescent="0.25">
      <c r="A12" s="18">
        <v>46175</v>
      </c>
      <c r="B12" s="4" t="s">
        <v>3</v>
      </c>
      <c r="C12" s="23">
        <v>10</v>
      </c>
      <c r="E12" s="19" t="s">
        <v>10</v>
      </c>
      <c r="F12" s="9" t="s">
        <v>11</v>
      </c>
      <c r="G12" s="9" t="s">
        <v>13</v>
      </c>
      <c r="H12" s="29" t="s">
        <v>75</v>
      </c>
    </row>
    <row r="13" spans="1:8" x14ac:dyDescent="0.25">
      <c r="A13" s="18">
        <v>46175</v>
      </c>
      <c r="B13" s="4" t="s">
        <v>3</v>
      </c>
      <c r="C13" s="23">
        <v>10</v>
      </c>
      <c r="E13" s="19" t="s">
        <v>10</v>
      </c>
      <c r="F13" s="9" t="s">
        <v>16</v>
      </c>
      <c r="G13" s="9" t="s">
        <v>13</v>
      </c>
      <c r="H13" s="29" t="s">
        <v>278</v>
      </c>
    </row>
    <row r="14" spans="1:8" x14ac:dyDescent="0.25">
      <c r="A14" s="18">
        <v>46175</v>
      </c>
      <c r="B14" s="4" t="s">
        <v>3</v>
      </c>
      <c r="C14" s="23">
        <v>10</v>
      </c>
      <c r="D14" s="2">
        <v>8</v>
      </c>
      <c r="E14" s="19" t="s">
        <v>10</v>
      </c>
      <c r="F14" s="9" t="s">
        <v>24</v>
      </c>
      <c r="G14" s="9" t="s">
        <v>25</v>
      </c>
    </row>
    <row r="15" spans="1:8" x14ac:dyDescent="0.25">
      <c r="A15" s="18">
        <v>46175</v>
      </c>
      <c r="B15" s="4" t="s">
        <v>6</v>
      </c>
      <c r="C15" s="23">
        <v>15</v>
      </c>
      <c r="E15" s="19" t="s">
        <v>10</v>
      </c>
      <c r="F15" s="9" t="s">
        <v>16</v>
      </c>
      <c r="G15" s="9" t="s">
        <v>13</v>
      </c>
      <c r="H15" s="29" t="s">
        <v>279</v>
      </c>
    </row>
    <row r="16" spans="1:8" x14ac:dyDescent="0.25">
      <c r="A16" s="18">
        <v>46175</v>
      </c>
      <c r="B16" s="4" t="s">
        <v>6</v>
      </c>
      <c r="C16" s="23">
        <v>10</v>
      </c>
      <c r="D16" s="2">
        <v>8</v>
      </c>
      <c r="E16" s="19" t="s">
        <v>4</v>
      </c>
      <c r="F16" s="9" t="s">
        <v>31</v>
      </c>
      <c r="G16" s="9" t="s">
        <v>7</v>
      </c>
      <c r="H16" s="29" t="s">
        <v>280</v>
      </c>
    </row>
    <row r="17" spans="1:8" x14ac:dyDescent="0.25">
      <c r="A17" s="18">
        <v>46175</v>
      </c>
      <c r="B17" s="4" t="s">
        <v>8</v>
      </c>
      <c r="C17" s="23">
        <v>10</v>
      </c>
      <c r="D17" s="2">
        <v>8</v>
      </c>
      <c r="E17" s="19" t="s">
        <v>10</v>
      </c>
      <c r="F17" s="9" t="s">
        <v>11</v>
      </c>
      <c r="G17" s="9" t="s">
        <v>13</v>
      </c>
    </row>
    <row r="18" spans="1:8" x14ac:dyDescent="0.25">
      <c r="A18" s="18">
        <v>46176</v>
      </c>
      <c r="B18" s="4" t="s">
        <v>3</v>
      </c>
      <c r="C18" s="23">
        <v>95</v>
      </c>
      <c r="D18" s="2">
        <v>8</v>
      </c>
      <c r="E18" s="19" t="s">
        <v>4</v>
      </c>
      <c r="F18" s="9" t="s">
        <v>24</v>
      </c>
      <c r="G18" s="9" t="s">
        <v>7</v>
      </c>
      <c r="H18" s="29" t="s">
        <v>281</v>
      </c>
    </row>
    <row r="19" spans="1:8" x14ac:dyDescent="0.25">
      <c r="A19" s="18">
        <v>46176</v>
      </c>
      <c r="B19" s="4" t="s">
        <v>6</v>
      </c>
      <c r="C19" s="23">
        <v>10</v>
      </c>
      <c r="E19" s="19" t="s">
        <v>4</v>
      </c>
      <c r="F19" s="9" t="s">
        <v>23</v>
      </c>
      <c r="G19" s="9" t="s">
        <v>5</v>
      </c>
      <c r="H19" s="29" t="s">
        <v>282</v>
      </c>
    </row>
    <row r="20" spans="1:8" x14ac:dyDescent="0.25">
      <c r="A20" s="18">
        <v>46176</v>
      </c>
      <c r="B20" s="4" t="s">
        <v>6</v>
      </c>
      <c r="C20" s="23">
        <v>10</v>
      </c>
      <c r="D20" s="2">
        <v>8</v>
      </c>
      <c r="E20" s="19" t="s">
        <v>10</v>
      </c>
      <c r="F20" s="9" t="s">
        <v>11</v>
      </c>
      <c r="G20" s="9" t="s">
        <v>13</v>
      </c>
    </row>
    <row r="21" spans="1:8" x14ac:dyDescent="0.25">
      <c r="A21" s="18">
        <v>46176</v>
      </c>
      <c r="B21" s="4" t="s">
        <v>8</v>
      </c>
      <c r="C21" s="23">
        <v>10</v>
      </c>
      <c r="E21" s="19" t="s">
        <v>10</v>
      </c>
      <c r="F21" s="9" t="s">
        <v>16</v>
      </c>
      <c r="G21" s="9" t="s">
        <v>13</v>
      </c>
      <c r="H21" s="29" t="s">
        <v>283</v>
      </c>
    </row>
    <row r="22" spans="1:8" x14ac:dyDescent="0.25">
      <c r="A22" s="18">
        <v>46176</v>
      </c>
      <c r="B22" s="4" t="s">
        <v>8</v>
      </c>
      <c r="C22" s="23">
        <v>25</v>
      </c>
      <c r="E22" s="19" t="s">
        <v>4</v>
      </c>
      <c r="F22" s="9" t="s">
        <v>28</v>
      </c>
      <c r="G22" s="9" t="s">
        <v>7</v>
      </c>
      <c r="H22" s="9" t="s">
        <v>284</v>
      </c>
    </row>
    <row r="23" spans="1:8" x14ac:dyDescent="0.25">
      <c r="A23" s="18">
        <v>46176</v>
      </c>
      <c r="B23" s="4" t="s">
        <v>8</v>
      </c>
      <c r="C23" s="23">
        <v>25</v>
      </c>
      <c r="D23" s="2">
        <v>8</v>
      </c>
      <c r="E23" s="19" t="s">
        <v>10</v>
      </c>
      <c r="F23" s="9" t="s">
        <v>28</v>
      </c>
      <c r="G23" s="9" t="s">
        <v>18</v>
      </c>
      <c r="H23" s="29" t="s">
        <v>285</v>
      </c>
    </row>
    <row r="24" spans="1:8" x14ac:dyDescent="0.25">
      <c r="A24" s="18">
        <v>46177</v>
      </c>
      <c r="B24" s="4" t="s">
        <v>3</v>
      </c>
      <c r="C24" s="23">
        <v>480</v>
      </c>
      <c r="D24" s="2">
        <v>8</v>
      </c>
      <c r="E24" t="s">
        <v>35</v>
      </c>
      <c r="F24" t="s">
        <v>11</v>
      </c>
      <c r="G24" t="s">
        <v>286</v>
      </c>
      <c r="H24" s="29" t="s">
        <v>287</v>
      </c>
    </row>
    <row r="25" spans="1:8" x14ac:dyDescent="0.25">
      <c r="A25" s="18">
        <v>46177</v>
      </c>
      <c r="B25" s="4" t="s">
        <v>6</v>
      </c>
      <c r="C25" s="23">
        <v>90</v>
      </c>
      <c r="E25" t="s">
        <v>35</v>
      </c>
      <c r="F25" t="s">
        <v>11</v>
      </c>
      <c r="G25" t="s">
        <v>286</v>
      </c>
      <c r="H25" s="29" t="s">
        <v>288</v>
      </c>
    </row>
    <row r="26" spans="1:8" s="10" customFormat="1" ht="30" x14ac:dyDescent="0.25">
      <c r="A26" s="24">
        <v>46177</v>
      </c>
      <c r="B26" s="4" t="s">
        <v>6</v>
      </c>
      <c r="C26" s="25">
        <v>65</v>
      </c>
      <c r="D26" s="26">
        <v>8</v>
      </c>
      <c r="E26" s="19" t="s">
        <v>4</v>
      </c>
      <c r="F26" s="27" t="s">
        <v>21</v>
      </c>
      <c r="G26" s="27" t="s">
        <v>7</v>
      </c>
      <c r="H26" s="28" t="s">
        <v>289</v>
      </c>
    </row>
    <row r="27" spans="1:8" x14ac:dyDescent="0.25">
      <c r="A27" s="18">
        <v>46177</v>
      </c>
      <c r="B27" s="4" t="s">
        <v>8</v>
      </c>
      <c r="C27" s="23">
        <v>10</v>
      </c>
      <c r="E27" s="19" t="s">
        <v>10</v>
      </c>
      <c r="F27" s="9" t="s">
        <v>11</v>
      </c>
      <c r="G27" s="9" t="s">
        <v>13</v>
      </c>
    </row>
    <row r="28" spans="1:8" x14ac:dyDescent="0.25">
      <c r="A28" s="18">
        <v>46177</v>
      </c>
      <c r="B28" s="4" t="s">
        <v>8</v>
      </c>
      <c r="C28" s="23">
        <v>10</v>
      </c>
      <c r="D28" s="2">
        <v>8</v>
      </c>
      <c r="E28" s="19" t="s">
        <v>10</v>
      </c>
      <c r="F28" s="9" t="s">
        <v>24</v>
      </c>
      <c r="G28" t="s">
        <v>18</v>
      </c>
      <c r="H28" s="29" t="s">
        <v>290</v>
      </c>
    </row>
    <row r="29" spans="1:8" x14ac:dyDescent="0.25">
      <c r="A29" s="18">
        <v>46178</v>
      </c>
      <c r="B29" s="4" t="s">
        <v>3</v>
      </c>
      <c r="C29" s="23">
        <v>150</v>
      </c>
      <c r="E29" s="19" t="s">
        <v>4</v>
      </c>
      <c r="F29" s="9" t="s">
        <v>24</v>
      </c>
      <c r="G29" t="s">
        <v>5</v>
      </c>
      <c r="H29" s="29" t="s">
        <v>291</v>
      </c>
    </row>
    <row r="30" spans="1:8" x14ac:dyDescent="0.25">
      <c r="A30" s="18">
        <v>46178</v>
      </c>
      <c r="B30" s="4" t="s">
        <v>3</v>
      </c>
      <c r="C30" s="23">
        <v>70</v>
      </c>
      <c r="D30" s="2">
        <v>8</v>
      </c>
      <c r="E30" s="19" t="s">
        <v>35</v>
      </c>
      <c r="F30" s="9" t="s">
        <v>11</v>
      </c>
      <c r="G30" t="s">
        <v>292</v>
      </c>
      <c r="H30" s="29" t="s">
        <v>293</v>
      </c>
    </row>
    <row r="31" spans="1:8" x14ac:dyDescent="0.25">
      <c r="A31" s="18">
        <v>46178</v>
      </c>
      <c r="B31" s="4" t="s">
        <v>6</v>
      </c>
      <c r="C31" s="23">
        <v>20</v>
      </c>
      <c r="E31" s="19" t="s">
        <v>10</v>
      </c>
      <c r="F31" s="9" t="s">
        <v>11</v>
      </c>
      <c r="G31" t="s">
        <v>13</v>
      </c>
      <c r="H31" s="29"/>
    </row>
    <row r="32" spans="1:8" x14ac:dyDescent="0.25">
      <c r="A32" s="18">
        <v>46178</v>
      </c>
      <c r="B32" s="4" t="s">
        <v>6</v>
      </c>
      <c r="C32" s="23">
        <v>30</v>
      </c>
      <c r="E32" s="19" t="s">
        <v>10</v>
      </c>
      <c r="F32" s="9" t="s">
        <v>11</v>
      </c>
      <c r="G32" t="s">
        <v>13</v>
      </c>
      <c r="H32" s="29" t="s">
        <v>294</v>
      </c>
    </row>
    <row r="33" spans="1:8" x14ac:dyDescent="0.25">
      <c r="A33" s="18">
        <v>46178</v>
      </c>
      <c r="B33" s="4" t="s">
        <v>6</v>
      </c>
      <c r="C33" s="23">
        <v>45</v>
      </c>
      <c r="D33" s="2">
        <v>8</v>
      </c>
      <c r="E33" s="19" t="s">
        <v>4</v>
      </c>
      <c r="F33" s="9" t="s">
        <v>29</v>
      </c>
      <c r="G33" t="s">
        <v>7</v>
      </c>
      <c r="H33" s="29" t="s">
        <v>295</v>
      </c>
    </row>
    <row r="34" spans="1:8" x14ac:dyDescent="0.25">
      <c r="A34" s="18">
        <v>46178</v>
      </c>
      <c r="B34" s="4" t="s">
        <v>8</v>
      </c>
      <c r="C34" s="23">
        <v>30</v>
      </c>
      <c r="D34" s="2">
        <v>8</v>
      </c>
      <c r="E34" s="19" t="s">
        <v>10</v>
      </c>
      <c r="F34" s="9" t="s">
        <v>31</v>
      </c>
      <c r="G34" t="s">
        <v>18</v>
      </c>
      <c r="H34" s="29" t="s">
        <v>296</v>
      </c>
    </row>
    <row r="35" spans="1:8" x14ac:dyDescent="0.25">
      <c r="A35" s="18">
        <v>46179</v>
      </c>
      <c r="B35" s="4" t="s">
        <v>3</v>
      </c>
      <c r="C35" s="23">
        <v>35</v>
      </c>
      <c r="D35" s="2">
        <v>8</v>
      </c>
      <c r="E35" s="19" t="s">
        <v>35</v>
      </c>
      <c r="F35" s="9" t="s">
        <v>11</v>
      </c>
      <c r="G35" t="s">
        <v>297</v>
      </c>
    </row>
    <row r="36" spans="1:8" x14ac:dyDescent="0.25">
      <c r="A36" s="18">
        <v>46179</v>
      </c>
      <c r="B36" s="4" t="s">
        <v>6</v>
      </c>
      <c r="C36" s="23">
        <v>10</v>
      </c>
      <c r="E36" s="19" t="s">
        <v>10</v>
      </c>
      <c r="F36" s="9" t="s">
        <v>11</v>
      </c>
      <c r="G36" t="s">
        <v>13</v>
      </c>
    </row>
    <row r="37" spans="1:8" x14ac:dyDescent="0.25">
      <c r="A37" s="18">
        <v>46179</v>
      </c>
      <c r="B37" s="4" t="s">
        <v>6</v>
      </c>
      <c r="C37" s="23">
        <v>10</v>
      </c>
      <c r="D37" s="2">
        <v>8</v>
      </c>
      <c r="E37" s="19" t="s">
        <v>10</v>
      </c>
      <c r="F37" s="9" t="s">
        <v>11</v>
      </c>
      <c r="G37" t="s">
        <v>13</v>
      </c>
    </row>
    <row r="38" spans="1:8" x14ac:dyDescent="0.25">
      <c r="A38" s="18">
        <v>46179</v>
      </c>
      <c r="B38" s="4" t="s">
        <v>8</v>
      </c>
      <c r="C38" s="23">
        <v>0</v>
      </c>
      <c r="D38" s="2">
        <v>8</v>
      </c>
      <c r="E38" s="19"/>
      <c r="F38" s="9"/>
    </row>
    <row r="39" spans="1:8" x14ac:dyDescent="0.25">
      <c r="A39" s="18">
        <v>46180</v>
      </c>
      <c r="B39" s="4" t="s">
        <v>6</v>
      </c>
      <c r="C39" s="23">
        <v>0</v>
      </c>
      <c r="D39" s="2">
        <v>8</v>
      </c>
      <c r="E39" s="19"/>
      <c r="F39" s="9"/>
    </row>
    <row r="40" spans="1:8" x14ac:dyDescent="0.25">
      <c r="A40" s="18">
        <v>46180</v>
      </c>
      <c r="B40" s="4" t="s">
        <v>8</v>
      </c>
      <c r="C40" s="23">
        <v>10</v>
      </c>
      <c r="D40" s="2">
        <v>8</v>
      </c>
      <c r="E40" s="19" t="s">
        <v>10</v>
      </c>
      <c r="F40" s="9" t="s">
        <v>11</v>
      </c>
      <c r="G40" t="s">
        <v>13</v>
      </c>
      <c r="H40" t="s">
        <v>84</v>
      </c>
    </row>
    <row r="41" spans="1:8" x14ac:dyDescent="0.25">
      <c r="A41" s="18">
        <v>46181</v>
      </c>
      <c r="B41" s="4" t="s">
        <v>6</v>
      </c>
      <c r="C41" s="23">
        <v>15</v>
      </c>
      <c r="D41" s="2">
        <v>8</v>
      </c>
      <c r="E41" s="19" t="s">
        <v>10</v>
      </c>
      <c r="F41" s="9" t="s">
        <v>26</v>
      </c>
      <c r="G41" t="s">
        <v>18</v>
      </c>
      <c r="H41" t="s">
        <v>298</v>
      </c>
    </row>
    <row r="42" spans="1:8" x14ac:dyDescent="0.25">
      <c r="A42" s="18">
        <v>46181</v>
      </c>
      <c r="B42" s="4" t="s">
        <v>8</v>
      </c>
      <c r="C42" s="23">
        <v>0</v>
      </c>
      <c r="D42" s="2">
        <v>8</v>
      </c>
      <c r="E42" s="19"/>
      <c r="F42" s="9"/>
    </row>
    <row r="43" spans="1:8" x14ac:dyDescent="0.25">
      <c r="A43" s="18">
        <v>46181</v>
      </c>
      <c r="B43" s="4" t="s">
        <v>3</v>
      </c>
      <c r="C43" s="23">
        <v>30</v>
      </c>
      <c r="E43" s="19" t="s">
        <v>10</v>
      </c>
      <c r="F43" s="9" t="s">
        <v>11</v>
      </c>
      <c r="G43" t="s">
        <v>13</v>
      </c>
      <c r="H43" t="s">
        <v>299</v>
      </c>
    </row>
    <row r="44" spans="1:8" x14ac:dyDescent="0.25">
      <c r="A44" s="18">
        <v>46181</v>
      </c>
      <c r="B44" s="4" t="s">
        <v>3</v>
      </c>
      <c r="C44" s="23">
        <v>10</v>
      </c>
      <c r="D44" s="2">
        <v>8</v>
      </c>
      <c r="E44" s="19" t="s">
        <v>10</v>
      </c>
      <c r="F44" s="9" t="s">
        <v>11</v>
      </c>
      <c r="G44" t="s">
        <v>13</v>
      </c>
      <c r="H44" t="s">
        <v>84</v>
      </c>
    </row>
    <row r="45" spans="1:8" x14ac:dyDescent="0.25">
      <c r="A45" s="18">
        <v>46182</v>
      </c>
      <c r="B45" s="4" t="s">
        <v>6</v>
      </c>
      <c r="C45" s="23">
        <v>40</v>
      </c>
      <c r="D45" s="2">
        <v>8</v>
      </c>
      <c r="E45" s="19" t="s">
        <v>10</v>
      </c>
      <c r="F45" s="9" t="s">
        <v>28</v>
      </c>
      <c r="G45" t="s">
        <v>18</v>
      </c>
      <c r="H45" t="s">
        <v>300</v>
      </c>
    </row>
    <row r="46" spans="1:8" x14ac:dyDescent="0.25">
      <c r="A46" s="18">
        <v>46182</v>
      </c>
      <c r="B46" s="4" t="s">
        <v>8</v>
      </c>
      <c r="C46" s="23">
        <v>0</v>
      </c>
      <c r="D46" s="2">
        <v>8</v>
      </c>
      <c r="E46" s="19"/>
      <c r="F46" s="9"/>
    </row>
    <row r="47" spans="1:8" x14ac:dyDescent="0.25">
      <c r="A47" s="18">
        <v>46182</v>
      </c>
      <c r="B47" s="4" t="s">
        <v>3</v>
      </c>
      <c r="C47" s="23">
        <v>0</v>
      </c>
      <c r="D47" s="2">
        <v>8</v>
      </c>
      <c r="E47" s="19"/>
      <c r="F47" s="9"/>
    </row>
    <row r="48" spans="1:8" x14ac:dyDescent="0.25">
      <c r="A48" s="18">
        <v>46183</v>
      </c>
      <c r="B48" s="4" t="s">
        <v>6</v>
      </c>
      <c r="C48" s="23">
        <v>0</v>
      </c>
      <c r="D48" s="2">
        <v>8</v>
      </c>
      <c r="E48" s="19"/>
      <c r="F48" s="9"/>
    </row>
    <row r="49" spans="1:8" x14ac:dyDescent="0.25">
      <c r="A49" s="18">
        <v>46183</v>
      </c>
      <c r="B49" s="4" t="s">
        <v>8</v>
      </c>
      <c r="C49" s="23">
        <v>15</v>
      </c>
      <c r="E49" s="19" t="s">
        <v>10</v>
      </c>
      <c r="F49" s="9" t="s">
        <v>16</v>
      </c>
      <c r="G49" t="s">
        <v>13</v>
      </c>
      <c r="H49" t="s">
        <v>301</v>
      </c>
    </row>
    <row r="50" spans="1:8" x14ac:dyDescent="0.25">
      <c r="A50" s="18">
        <v>46183</v>
      </c>
      <c r="B50" s="4" t="s">
        <v>8</v>
      </c>
      <c r="C50" s="23">
        <v>10</v>
      </c>
      <c r="D50" s="2">
        <v>8</v>
      </c>
      <c r="E50" s="19" t="s">
        <v>10</v>
      </c>
      <c r="F50" s="9" t="s">
        <v>11</v>
      </c>
      <c r="G50" t="s">
        <v>13</v>
      </c>
      <c r="H50" t="s">
        <v>103</v>
      </c>
    </row>
    <row r="51" spans="1:8" x14ac:dyDescent="0.25">
      <c r="A51" s="18">
        <v>46183</v>
      </c>
      <c r="B51" s="4" t="s">
        <v>3</v>
      </c>
      <c r="C51" s="23">
        <v>15</v>
      </c>
      <c r="D51" s="2">
        <v>8</v>
      </c>
      <c r="E51" s="19" t="s">
        <v>35</v>
      </c>
      <c r="F51" s="9" t="s">
        <v>11</v>
      </c>
      <c r="G51" s="7" t="s">
        <v>302</v>
      </c>
    </row>
    <row r="52" spans="1:8" x14ac:dyDescent="0.25">
      <c r="A52" s="18">
        <v>46184</v>
      </c>
      <c r="B52" s="4" t="s">
        <v>8</v>
      </c>
      <c r="C52" s="23">
        <v>480</v>
      </c>
      <c r="D52" s="2">
        <v>8</v>
      </c>
      <c r="E52" s="19" t="s">
        <v>35</v>
      </c>
      <c r="F52" s="9" t="s">
        <v>11</v>
      </c>
      <c r="G52" s="7" t="s">
        <v>302</v>
      </c>
      <c r="H52" t="s">
        <v>303</v>
      </c>
    </row>
    <row r="53" spans="1:8" x14ac:dyDescent="0.25">
      <c r="A53" s="18">
        <v>46184</v>
      </c>
      <c r="B53" s="4" t="s">
        <v>6</v>
      </c>
      <c r="C53" s="23">
        <v>60</v>
      </c>
      <c r="D53" s="2">
        <v>8</v>
      </c>
      <c r="E53" s="19" t="s">
        <v>35</v>
      </c>
      <c r="F53" s="9" t="s">
        <v>11</v>
      </c>
      <c r="G53" s="7" t="s">
        <v>302</v>
      </c>
      <c r="H53" t="s">
        <v>304</v>
      </c>
    </row>
    <row r="54" spans="1:8" x14ac:dyDescent="0.25">
      <c r="A54" s="18">
        <v>46184</v>
      </c>
      <c r="B54" s="4" t="s">
        <v>3</v>
      </c>
      <c r="C54" s="23">
        <v>20</v>
      </c>
      <c r="E54" s="19" t="s">
        <v>10</v>
      </c>
      <c r="F54" s="9" t="s">
        <v>16</v>
      </c>
      <c r="G54" t="s">
        <v>13</v>
      </c>
      <c r="H54" t="s">
        <v>305</v>
      </c>
    </row>
    <row r="55" spans="1:8" x14ac:dyDescent="0.25">
      <c r="A55" s="18">
        <v>46184</v>
      </c>
      <c r="B55" s="4" t="s">
        <v>3</v>
      </c>
      <c r="C55" s="23">
        <v>45</v>
      </c>
      <c r="D55" s="2">
        <v>8</v>
      </c>
      <c r="E55" s="19" t="s">
        <v>10</v>
      </c>
      <c r="F55" s="9" t="s">
        <v>24</v>
      </c>
      <c r="G55" s="7" t="s">
        <v>18</v>
      </c>
      <c r="H55" t="s">
        <v>306</v>
      </c>
    </row>
    <row r="56" spans="1:8" x14ac:dyDescent="0.25">
      <c r="A56" s="18">
        <v>46185</v>
      </c>
      <c r="B56" s="4" t="s">
        <v>6</v>
      </c>
      <c r="C56" s="23">
        <v>10</v>
      </c>
      <c r="D56" s="2">
        <v>8</v>
      </c>
      <c r="E56" s="19" t="s">
        <v>10</v>
      </c>
      <c r="F56" s="9" t="s">
        <v>24</v>
      </c>
      <c r="G56" s="7" t="s">
        <v>18</v>
      </c>
      <c r="H56" t="s">
        <v>307</v>
      </c>
    </row>
    <row r="57" spans="1:8" x14ac:dyDescent="0.25">
      <c r="A57" s="18">
        <v>46185</v>
      </c>
      <c r="B57" s="4" t="s">
        <v>8</v>
      </c>
      <c r="C57" s="23">
        <v>40</v>
      </c>
      <c r="D57" s="2">
        <v>8</v>
      </c>
      <c r="E57" s="19" t="s">
        <v>10</v>
      </c>
      <c r="F57" s="9" t="s">
        <v>24</v>
      </c>
      <c r="G57" s="7" t="s">
        <v>18</v>
      </c>
      <c r="H57" t="s">
        <v>308</v>
      </c>
    </row>
    <row r="58" spans="1:8" x14ac:dyDescent="0.25">
      <c r="A58" s="18">
        <v>46185</v>
      </c>
      <c r="B58" s="4" t="s">
        <v>3</v>
      </c>
      <c r="C58" s="23">
        <v>95</v>
      </c>
      <c r="E58" s="19" t="s">
        <v>4</v>
      </c>
      <c r="F58" s="9" t="s">
        <v>29</v>
      </c>
      <c r="G58" t="s">
        <v>5</v>
      </c>
      <c r="H58" t="s">
        <v>309</v>
      </c>
    </row>
    <row r="59" spans="1:8" x14ac:dyDescent="0.25">
      <c r="A59" s="18">
        <v>46185</v>
      </c>
      <c r="B59" s="4" t="s">
        <v>3</v>
      </c>
      <c r="C59" s="23">
        <v>75</v>
      </c>
      <c r="D59" s="2">
        <v>8</v>
      </c>
      <c r="E59" s="19" t="s">
        <v>10</v>
      </c>
      <c r="F59" s="9" t="s">
        <v>24</v>
      </c>
      <c r="G59" s="7" t="s">
        <v>18</v>
      </c>
      <c r="H59" t="s">
        <v>310</v>
      </c>
    </row>
    <row r="60" spans="1:8" x14ac:dyDescent="0.25">
      <c r="A60" s="18">
        <v>46186</v>
      </c>
      <c r="B60" s="4" t="s">
        <v>6</v>
      </c>
      <c r="C60" s="23">
        <v>15</v>
      </c>
      <c r="D60" s="2">
        <v>8</v>
      </c>
      <c r="E60" s="19" t="s">
        <v>10</v>
      </c>
      <c r="F60" s="9" t="s">
        <v>24</v>
      </c>
      <c r="G60" s="7" t="s">
        <v>18</v>
      </c>
      <c r="H60" t="s">
        <v>311</v>
      </c>
    </row>
    <row r="61" spans="1:8" x14ac:dyDescent="0.25">
      <c r="A61" s="18">
        <v>46186</v>
      </c>
      <c r="B61" s="4" t="s">
        <v>8</v>
      </c>
      <c r="C61" s="23">
        <v>0</v>
      </c>
      <c r="D61" s="2">
        <v>8</v>
      </c>
    </row>
    <row r="62" spans="1:8" x14ac:dyDescent="0.25">
      <c r="A62" s="18">
        <v>46186</v>
      </c>
      <c r="B62" s="4" t="s">
        <v>3</v>
      </c>
      <c r="C62" s="23">
        <v>10</v>
      </c>
      <c r="E62" s="19" t="s">
        <v>10</v>
      </c>
      <c r="F62" s="9" t="s">
        <v>11</v>
      </c>
      <c r="G62" s="32" t="s">
        <v>13</v>
      </c>
      <c r="H62" t="s">
        <v>312</v>
      </c>
    </row>
    <row r="63" spans="1:8" x14ac:dyDescent="0.25">
      <c r="A63" s="18">
        <v>46186</v>
      </c>
      <c r="B63" s="4" t="s">
        <v>3</v>
      </c>
      <c r="C63" s="23">
        <v>10</v>
      </c>
      <c r="D63" s="2">
        <v>8</v>
      </c>
      <c r="E63" s="19" t="s">
        <v>10</v>
      </c>
      <c r="F63" s="9" t="s">
        <v>16</v>
      </c>
      <c r="G63" t="s">
        <v>13</v>
      </c>
      <c r="H63" t="s">
        <v>313</v>
      </c>
    </row>
    <row r="64" spans="1:8" x14ac:dyDescent="0.25">
      <c r="A64" s="18">
        <v>46187</v>
      </c>
      <c r="B64" s="4" t="s">
        <v>6</v>
      </c>
      <c r="C64" s="23">
        <v>10</v>
      </c>
      <c r="E64" s="19" t="s">
        <v>10</v>
      </c>
      <c r="F64" s="9" t="s">
        <v>11</v>
      </c>
      <c r="G64" s="32" t="s">
        <v>13</v>
      </c>
    </row>
    <row r="65" spans="1:8" x14ac:dyDescent="0.25">
      <c r="A65" s="18">
        <v>46187</v>
      </c>
      <c r="B65" s="4" t="s">
        <v>6</v>
      </c>
      <c r="C65" s="23">
        <v>5</v>
      </c>
      <c r="E65" s="19" t="s">
        <v>10</v>
      </c>
      <c r="F65" s="9" t="s">
        <v>11</v>
      </c>
      <c r="G65" s="32" t="s">
        <v>13</v>
      </c>
    </row>
    <row r="66" spans="1:8" x14ac:dyDescent="0.25">
      <c r="A66" s="18">
        <v>46187</v>
      </c>
      <c r="B66" s="4" t="s">
        <v>6</v>
      </c>
      <c r="C66" s="23">
        <v>10</v>
      </c>
      <c r="D66" s="2">
        <v>8</v>
      </c>
      <c r="E66" s="19" t="s">
        <v>10</v>
      </c>
      <c r="F66" s="9" t="s">
        <v>29</v>
      </c>
      <c r="G66" s="32" t="s">
        <v>18</v>
      </c>
    </row>
    <row r="67" spans="1:8" x14ac:dyDescent="0.25">
      <c r="A67" s="18">
        <v>46187</v>
      </c>
      <c r="B67" s="4" t="s">
        <v>3</v>
      </c>
      <c r="C67" s="23">
        <v>15</v>
      </c>
      <c r="D67" s="2">
        <v>8</v>
      </c>
      <c r="E67" s="19" t="s">
        <v>10</v>
      </c>
      <c r="F67" s="9" t="s">
        <v>11</v>
      </c>
      <c r="G67" s="32" t="s">
        <v>13</v>
      </c>
    </row>
    <row r="68" spans="1:8" x14ac:dyDescent="0.25">
      <c r="A68" s="18">
        <v>46188</v>
      </c>
      <c r="B68" s="4" t="s">
        <v>6</v>
      </c>
      <c r="C68" s="23">
        <v>25</v>
      </c>
      <c r="E68" s="19" t="s">
        <v>10</v>
      </c>
      <c r="F68" s="9" t="s">
        <v>23</v>
      </c>
      <c r="G68" s="32" t="s">
        <v>18</v>
      </c>
    </row>
    <row r="69" spans="1:8" x14ac:dyDescent="0.25">
      <c r="A69" s="18">
        <v>46188</v>
      </c>
      <c r="B69" s="4" t="s">
        <v>6</v>
      </c>
      <c r="C69" s="23">
        <v>40</v>
      </c>
      <c r="D69" s="2">
        <v>8</v>
      </c>
      <c r="E69" s="19" t="s">
        <v>4</v>
      </c>
      <c r="F69" s="9" t="s">
        <v>21</v>
      </c>
      <c r="G69" s="32" t="s">
        <v>7</v>
      </c>
      <c r="H69" t="s">
        <v>314</v>
      </c>
    </row>
    <row r="70" spans="1:8" x14ac:dyDescent="0.25">
      <c r="A70" s="18">
        <v>46188</v>
      </c>
      <c r="B70" s="4" t="s">
        <v>3</v>
      </c>
      <c r="C70" s="23">
        <v>15</v>
      </c>
      <c r="D70" s="2">
        <v>8</v>
      </c>
      <c r="E70" s="19" t="s">
        <v>10</v>
      </c>
      <c r="F70" s="9" t="s">
        <v>11</v>
      </c>
      <c r="G70" s="32" t="s">
        <v>13</v>
      </c>
    </row>
    <row r="71" spans="1:8" x14ac:dyDescent="0.25">
      <c r="A71" s="18">
        <v>46189</v>
      </c>
      <c r="B71" s="4" t="s">
        <v>8</v>
      </c>
      <c r="C71" s="23">
        <v>30</v>
      </c>
      <c r="E71" s="19" t="s">
        <v>10</v>
      </c>
      <c r="F71" s="9" t="s">
        <v>28</v>
      </c>
      <c r="G71" s="32" t="s">
        <v>18</v>
      </c>
      <c r="H71" t="s">
        <v>315</v>
      </c>
    </row>
    <row r="72" spans="1:8" x14ac:dyDescent="0.25">
      <c r="A72" s="18">
        <v>46189</v>
      </c>
      <c r="B72" s="4" t="s">
        <v>8</v>
      </c>
      <c r="C72" s="23">
        <v>10</v>
      </c>
      <c r="D72" s="2">
        <v>8</v>
      </c>
      <c r="E72" s="19" t="s">
        <v>10</v>
      </c>
      <c r="F72" s="9" t="s">
        <v>21</v>
      </c>
      <c r="G72" s="32" t="s">
        <v>18</v>
      </c>
    </row>
    <row r="73" spans="1:8" x14ac:dyDescent="0.25">
      <c r="A73" s="18">
        <v>46189</v>
      </c>
      <c r="B73" s="4" t="s">
        <v>3</v>
      </c>
      <c r="C73" s="23">
        <v>40</v>
      </c>
      <c r="D73" s="2">
        <v>8</v>
      </c>
      <c r="E73" s="19" t="s">
        <v>4</v>
      </c>
      <c r="F73" s="9" t="s">
        <v>21</v>
      </c>
      <c r="G73" s="32" t="s">
        <v>7</v>
      </c>
      <c r="H73" t="s">
        <v>316</v>
      </c>
    </row>
    <row r="74" spans="1:8" x14ac:dyDescent="0.25">
      <c r="A74" s="18">
        <v>46189</v>
      </c>
      <c r="B74" s="4" t="s">
        <v>6</v>
      </c>
      <c r="C74" s="23">
        <v>140</v>
      </c>
      <c r="D74" s="2">
        <v>8</v>
      </c>
      <c r="E74" t="s">
        <v>37</v>
      </c>
      <c r="F74" t="s">
        <v>11</v>
      </c>
      <c r="G74" s="9" t="s">
        <v>38</v>
      </c>
      <c r="H74" t="s">
        <v>212</v>
      </c>
    </row>
    <row r="75" spans="1:8" x14ac:dyDescent="0.25">
      <c r="A75" s="18">
        <v>46190</v>
      </c>
      <c r="B75" s="4" t="s">
        <v>8</v>
      </c>
      <c r="C75" s="23">
        <v>10</v>
      </c>
      <c r="D75" s="2">
        <v>8</v>
      </c>
      <c r="E75" s="19" t="s">
        <v>10</v>
      </c>
      <c r="F75" s="9" t="s">
        <v>16</v>
      </c>
      <c r="G75" t="s">
        <v>13</v>
      </c>
      <c r="H75" t="s">
        <v>317</v>
      </c>
    </row>
    <row r="76" spans="1:8" x14ac:dyDescent="0.25">
      <c r="A76" s="18">
        <v>46190</v>
      </c>
      <c r="B76" s="4" t="s">
        <v>3</v>
      </c>
      <c r="C76" s="23">
        <v>10</v>
      </c>
      <c r="D76" s="2">
        <v>8</v>
      </c>
      <c r="E76" s="19" t="s">
        <v>4</v>
      </c>
      <c r="F76" s="9" t="s">
        <v>17</v>
      </c>
      <c r="G76" s="32" t="s">
        <v>7</v>
      </c>
      <c r="H76" t="s">
        <v>318</v>
      </c>
    </row>
    <row r="77" spans="1:8" x14ac:dyDescent="0.25">
      <c r="A77" s="18">
        <v>46190</v>
      </c>
      <c r="B77" s="4" t="s">
        <v>6</v>
      </c>
      <c r="C77" s="23">
        <v>0</v>
      </c>
      <c r="D77" s="2">
        <v>8</v>
      </c>
    </row>
    <row r="78" spans="1:8" x14ac:dyDescent="0.25">
      <c r="A78" s="18">
        <v>46191</v>
      </c>
      <c r="B78" s="4" t="s">
        <v>8</v>
      </c>
      <c r="C78" s="23">
        <v>0</v>
      </c>
      <c r="D78" s="2">
        <v>8</v>
      </c>
    </row>
    <row r="79" spans="1:8" x14ac:dyDescent="0.25">
      <c r="A79" s="18">
        <v>46191</v>
      </c>
      <c r="B79" s="4" t="s">
        <v>3</v>
      </c>
      <c r="C79" s="23">
        <v>10</v>
      </c>
      <c r="D79" s="2">
        <v>8</v>
      </c>
      <c r="E79" s="19" t="s">
        <v>10</v>
      </c>
      <c r="F79" s="9" t="s">
        <v>16</v>
      </c>
      <c r="G79" t="s">
        <v>13</v>
      </c>
      <c r="H79" t="s">
        <v>319</v>
      </c>
    </row>
    <row r="80" spans="1:8" x14ac:dyDescent="0.25">
      <c r="A80" s="18">
        <v>46191</v>
      </c>
      <c r="B80" s="4" t="s">
        <v>6</v>
      </c>
      <c r="C80" s="23">
        <v>15</v>
      </c>
      <c r="D80" s="2">
        <v>8</v>
      </c>
      <c r="E80" s="19" t="s">
        <v>10</v>
      </c>
      <c r="F80" s="9" t="s">
        <v>16</v>
      </c>
      <c r="G80" t="s">
        <v>13</v>
      </c>
      <c r="H80" t="s">
        <v>320</v>
      </c>
    </row>
    <row r="81" spans="1:8" x14ac:dyDescent="0.25">
      <c r="A81" s="18">
        <v>46192</v>
      </c>
      <c r="B81" s="4" t="s">
        <v>8</v>
      </c>
      <c r="C81" s="23">
        <v>10</v>
      </c>
      <c r="D81" s="2">
        <v>8</v>
      </c>
      <c r="E81" s="19" t="s">
        <v>4</v>
      </c>
      <c r="F81" s="9" t="s">
        <v>21</v>
      </c>
      <c r="G81" s="32" t="s">
        <v>7</v>
      </c>
      <c r="H81" t="s">
        <v>321</v>
      </c>
    </row>
    <row r="82" spans="1:8" x14ac:dyDescent="0.25">
      <c r="A82" s="18">
        <v>46192</v>
      </c>
      <c r="B82" s="4" t="s">
        <v>3</v>
      </c>
      <c r="C82" s="23">
        <v>15</v>
      </c>
      <c r="E82" s="19" t="s">
        <v>10</v>
      </c>
      <c r="F82" s="9" t="s">
        <v>11</v>
      </c>
      <c r="G82" t="s">
        <v>13</v>
      </c>
      <c r="H82" t="s">
        <v>103</v>
      </c>
    </row>
    <row r="83" spans="1:8" x14ac:dyDescent="0.25">
      <c r="A83" s="18">
        <v>46192</v>
      </c>
      <c r="B83" s="4" t="s">
        <v>3</v>
      </c>
      <c r="C83" s="23">
        <v>10</v>
      </c>
      <c r="E83" s="19" t="s">
        <v>4</v>
      </c>
      <c r="F83" s="9" t="s">
        <v>29</v>
      </c>
      <c r="G83" s="32" t="s">
        <v>5</v>
      </c>
      <c r="H83" t="s">
        <v>322</v>
      </c>
    </row>
    <row r="84" spans="1:8" x14ac:dyDescent="0.25">
      <c r="A84" s="18">
        <v>46192</v>
      </c>
      <c r="B84" s="4" t="s">
        <v>3</v>
      </c>
      <c r="C84" s="23">
        <v>10</v>
      </c>
      <c r="D84" s="2">
        <v>8</v>
      </c>
      <c r="E84" s="19" t="s">
        <v>10</v>
      </c>
      <c r="F84" s="9" t="s">
        <v>16</v>
      </c>
      <c r="G84" t="s">
        <v>13</v>
      </c>
      <c r="H84" t="s">
        <v>323</v>
      </c>
    </row>
    <row r="85" spans="1:8" x14ac:dyDescent="0.25">
      <c r="A85" s="18">
        <v>46192</v>
      </c>
      <c r="B85" s="4" t="s">
        <v>6</v>
      </c>
      <c r="C85" s="23">
        <v>10</v>
      </c>
      <c r="D85" s="2">
        <v>8</v>
      </c>
      <c r="E85" s="19" t="s">
        <v>10</v>
      </c>
      <c r="F85" s="9" t="s">
        <v>11</v>
      </c>
      <c r="G85" t="s">
        <v>13</v>
      </c>
      <c r="H85" t="s">
        <v>103</v>
      </c>
    </row>
    <row r="86" spans="1:8" x14ac:dyDescent="0.25">
      <c r="A86" s="18">
        <v>46195</v>
      </c>
      <c r="B86" s="4" t="s">
        <v>3</v>
      </c>
      <c r="C86" s="23">
        <v>50</v>
      </c>
      <c r="D86" s="2">
        <v>8</v>
      </c>
      <c r="E86" s="19" t="s">
        <v>35</v>
      </c>
      <c r="F86" s="9" t="s">
        <v>11</v>
      </c>
      <c r="G86" t="s">
        <v>324</v>
      </c>
      <c r="H86" t="s">
        <v>325</v>
      </c>
    </row>
    <row r="87" spans="1:8" x14ac:dyDescent="0.25">
      <c r="A87" s="18">
        <v>46195</v>
      </c>
      <c r="B87" s="4" t="s">
        <v>6</v>
      </c>
      <c r="C87" s="23">
        <v>30</v>
      </c>
      <c r="E87" s="19" t="s">
        <v>35</v>
      </c>
      <c r="F87" s="9" t="s">
        <v>11</v>
      </c>
      <c r="G87" t="s">
        <v>324</v>
      </c>
    </row>
    <row r="88" spans="1:8" x14ac:dyDescent="0.25">
      <c r="A88" s="18">
        <v>46195</v>
      </c>
      <c r="B88" s="4" t="s">
        <v>6</v>
      </c>
      <c r="C88" s="23">
        <v>140</v>
      </c>
      <c r="D88" s="2">
        <v>8</v>
      </c>
      <c r="E88" t="s">
        <v>37</v>
      </c>
      <c r="F88" t="s">
        <v>11</v>
      </c>
      <c r="G88" s="9" t="s">
        <v>38</v>
      </c>
      <c r="H88" t="s">
        <v>212</v>
      </c>
    </row>
    <row r="89" spans="1:8" x14ac:dyDescent="0.25">
      <c r="A89" s="18">
        <v>46195</v>
      </c>
      <c r="B89" s="4" t="s">
        <v>8</v>
      </c>
      <c r="C89" s="23">
        <v>15</v>
      </c>
      <c r="D89" s="2">
        <v>8</v>
      </c>
      <c r="E89" s="19" t="s">
        <v>10</v>
      </c>
      <c r="F89" s="9" t="s">
        <v>11</v>
      </c>
      <c r="G89" t="s">
        <v>13</v>
      </c>
      <c r="H89" t="s">
        <v>103</v>
      </c>
    </row>
    <row r="90" spans="1:8" x14ac:dyDescent="0.25">
      <c r="A90" s="18">
        <v>46196</v>
      </c>
      <c r="B90" s="4" t="s">
        <v>3</v>
      </c>
      <c r="C90" s="23">
        <v>20</v>
      </c>
      <c r="E90" s="19" t="s">
        <v>10</v>
      </c>
      <c r="F90" s="9" t="s">
        <v>11</v>
      </c>
      <c r="G90" t="s">
        <v>13</v>
      </c>
      <c r="H90" t="s">
        <v>326</v>
      </c>
    </row>
    <row r="91" spans="1:8" x14ac:dyDescent="0.25">
      <c r="A91" s="18">
        <v>46196</v>
      </c>
      <c r="B91" s="4" t="s">
        <v>3</v>
      </c>
      <c r="C91" s="23">
        <v>15</v>
      </c>
      <c r="D91" s="2">
        <v>8</v>
      </c>
      <c r="E91" s="19" t="s">
        <v>10</v>
      </c>
      <c r="F91" s="9" t="s">
        <v>11</v>
      </c>
      <c r="G91" t="s">
        <v>13</v>
      </c>
    </row>
    <row r="92" spans="1:8" x14ac:dyDescent="0.25">
      <c r="A92" s="18">
        <v>46196</v>
      </c>
      <c r="B92" s="4" t="s">
        <v>6</v>
      </c>
      <c r="C92" s="23">
        <v>15</v>
      </c>
      <c r="E92" s="19" t="s">
        <v>10</v>
      </c>
      <c r="F92" s="9" t="s">
        <v>29</v>
      </c>
      <c r="G92" t="s">
        <v>18</v>
      </c>
    </row>
    <row r="93" spans="1:8" x14ac:dyDescent="0.25">
      <c r="A93" s="18">
        <v>46196</v>
      </c>
      <c r="B93" s="4" t="s">
        <v>6</v>
      </c>
      <c r="C93" s="23">
        <v>10</v>
      </c>
      <c r="E93" s="19" t="s">
        <v>10</v>
      </c>
      <c r="F93" s="9" t="s">
        <v>16</v>
      </c>
      <c r="G93" s="7" t="s">
        <v>13</v>
      </c>
      <c r="H93" t="s">
        <v>327</v>
      </c>
    </row>
    <row r="94" spans="1:8" x14ac:dyDescent="0.25">
      <c r="A94" s="18">
        <v>46196</v>
      </c>
      <c r="B94" s="4" t="s">
        <v>6</v>
      </c>
      <c r="C94" s="23">
        <v>10</v>
      </c>
      <c r="D94" s="2">
        <v>8</v>
      </c>
      <c r="E94" s="19" t="s">
        <v>10</v>
      </c>
      <c r="F94" s="9" t="s">
        <v>16</v>
      </c>
      <c r="G94" s="7" t="s">
        <v>13</v>
      </c>
      <c r="H94" t="s">
        <v>328</v>
      </c>
    </row>
    <row r="95" spans="1:8" x14ac:dyDescent="0.25">
      <c r="A95" s="18">
        <v>46196</v>
      </c>
      <c r="B95" s="4" t="s">
        <v>8</v>
      </c>
      <c r="C95" s="23">
        <v>15</v>
      </c>
      <c r="E95" s="19" t="s">
        <v>10</v>
      </c>
      <c r="F95" s="9" t="s">
        <v>11</v>
      </c>
      <c r="G95" t="s">
        <v>13</v>
      </c>
    </row>
    <row r="96" spans="1:8" x14ac:dyDescent="0.25">
      <c r="A96" s="18">
        <v>46196</v>
      </c>
      <c r="B96" s="4" t="s">
        <v>8</v>
      </c>
      <c r="C96" s="23">
        <v>10</v>
      </c>
      <c r="D96" s="2">
        <v>8</v>
      </c>
      <c r="E96" s="19" t="s">
        <v>10</v>
      </c>
      <c r="F96" s="9" t="s">
        <v>11</v>
      </c>
      <c r="G96" t="s">
        <v>13</v>
      </c>
    </row>
    <row r="97" spans="1:8" x14ac:dyDescent="0.25">
      <c r="A97" s="18">
        <v>46197</v>
      </c>
      <c r="B97" s="4" t="s">
        <v>3</v>
      </c>
      <c r="C97" s="23">
        <v>20</v>
      </c>
      <c r="E97" s="19" t="s">
        <v>10</v>
      </c>
      <c r="F97" s="9" t="s">
        <v>21</v>
      </c>
      <c r="G97" t="s">
        <v>18</v>
      </c>
      <c r="H97" t="s">
        <v>329</v>
      </c>
    </row>
    <row r="98" spans="1:8" x14ac:dyDescent="0.25">
      <c r="A98" s="18">
        <v>46197</v>
      </c>
      <c r="B98" s="4" t="s">
        <v>3</v>
      </c>
      <c r="C98" s="23">
        <v>70</v>
      </c>
      <c r="D98" s="2">
        <v>8</v>
      </c>
      <c r="E98" s="19" t="s">
        <v>35</v>
      </c>
      <c r="F98" s="9" t="s">
        <v>11</v>
      </c>
      <c r="G98" t="s">
        <v>330</v>
      </c>
    </row>
    <row r="99" spans="1:8" x14ac:dyDescent="0.25">
      <c r="A99" s="18">
        <v>46197</v>
      </c>
      <c r="B99" s="4" t="s">
        <v>6</v>
      </c>
      <c r="C99" s="23">
        <v>15</v>
      </c>
      <c r="E99" s="19" t="s">
        <v>10</v>
      </c>
      <c r="F99" s="9" t="s">
        <v>29</v>
      </c>
      <c r="G99" t="s">
        <v>18</v>
      </c>
      <c r="H99" t="s">
        <v>331</v>
      </c>
    </row>
    <row r="100" spans="1:8" x14ac:dyDescent="0.25">
      <c r="A100" s="18">
        <v>46197</v>
      </c>
      <c r="B100" s="4" t="s">
        <v>6</v>
      </c>
      <c r="C100" s="23">
        <v>10</v>
      </c>
      <c r="D100" s="2">
        <v>8</v>
      </c>
      <c r="E100" s="19" t="s">
        <v>10</v>
      </c>
      <c r="F100" s="9" t="s">
        <v>11</v>
      </c>
      <c r="G100" t="s">
        <v>13</v>
      </c>
      <c r="H100" t="s">
        <v>332</v>
      </c>
    </row>
    <row r="101" spans="1:8" x14ac:dyDescent="0.25">
      <c r="A101" s="18">
        <v>46197</v>
      </c>
      <c r="B101" s="4" t="s">
        <v>8</v>
      </c>
      <c r="C101" s="23">
        <v>20</v>
      </c>
      <c r="E101" s="19" t="s">
        <v>10</v>
      </c>
      <c r="F101" s="9" t="s">
        <v>23</v>
      </c>
      <c r="G101" t="s">
        <v>18</v>
      </c>
      <c r="H101" t="s">
        <v>333</v>
      </c>
    </row>
    <row r="102" spans="1:8" x14ac:dyDescent="0.25">
      <c r="A102" s="18">
        <v>46197</v>
      </c>
      <c r="B102" s="4" t="s">
        <v>8</v>
      </c>
      <c r="C102" s="23">
        <v>20</v>
      </c>
      <c r="D102" s="2">
        <v>8</v>
      </c>
      <c r="E102" s="19" t="s">
        <v>10</v>
      </c>
      <c r="F102" s="9" t="s">
        <v>11</v>
      </c>
      <c r="G102" t="s">
        <v>13</v>
      </c>
      <c r="H102" t="s">
        <v>334</v>
      </c>
    </row>
    <row r="103" spans="1:8" x14ac:dyDescent="0.25">
      <c r="A103" s="18">
        <v>46198</v>
      </c>
      <c r="B103" s="4" t="s">
        <v>3</v>
      </c>
      <c r="C103" s="23">
        <v>25</v>
      </c>
      <c r="D103" s="2">
        <v>8</v>
      </c>
      <c r="E103" s="19" t="s">
        <v>4</v>
      </c>
      <c r="F103" s="9" t="s">
        <v>31</v>
      </c>
      <c r="G103" t="s">
        <v>5</v>
      </c>
      <c r="H103" t="s">
        <v>335</v>
      </c>
    </row>
    <row r="104" spans="1:8" x14ac:dyDescent="0.25">
      <c r="A104" s="18">
        <v>46198</v>
      </c>
      <c r="B104" s="4" t="s">
        <v>6</v>
      </c>
      <c r="C104" s="23">
        <v>10</v>
      </c>
      <c r="E104" s="19" t="s">
        <v>10</v>
      </c>
      <c r="F104" s="9" t="s">
        <v>11</v>
      </c>
      <c r="G104" t="s">
        <v>13</v>
      </c>
    </row>
    <row r="105" spans="1:8" x14ac:dyDescent="0.25">
      <c r="A105" s="18">
        <v>46198</v>
      </c>
      <c r="B105" s="4" t="s">
        <v>6</v>
      </c>
      <c r="C105" s="23">
        <v>10</v>
      </c>
      <c r="D105" s="2">
        <v>8</v>
      </c>
      <c r="E105" s="19" t="s">
        <v>10</v>
      </c>
      <c r="F105" s="9" t="s">
        <v>23</v>
      </c>
      <c r="G105" t="s">
        <v>18</v>
      </c>
      <c r="H105" t="s">
        <v>336</v>
      </c>
    </row>
    <row r="106" spans="1:8" x14ac:dyDescent="0.25">
      <c r="A106" s="18">
        <v>46198</v>
      </c>
      <c r="B106" s="4" t="s">
        <v>8</v>
      </c>
      <c r="C106" s="23">
        <v>0</v>
      </c>
      <c r="D106" s="2">
        <v>8</v>
      </c>
    </row>
    <row r="107" spans="1:8" x14ac:dyDescent="0.25">
      <c r="A107" s="18">
        <v>46199</v>
      </c>
      <c r="B107" s="4" t="s">
        <v>3</v>
      </c>
      <c r="C107" s="23">
        <v>15</v>
      </c>
      <c r="E107" s="19" t="s">
        <v>10</v>
      </c>
      <c r="F107" s="9" t="s">
        <v>11</v>
      </c>
      <c r="G107" t="s">
        <v>13</v>
      </c>
      <c r="H107" t="s">
        <v>334</v>
      </c>
    </row>
    <row r="108" spans="1:8" x14ac:dyDescent="0.25">
      <c r="A108" s="18">
        <v>46199</v>
      </c>
      <c r="B108" s="4" t="s">
        <v>3</v>
      </c>
      <c r="C108" s="23">
        <v>45</v>
      </c>
      <c r="D108" s="2">
        <v>8</v>
      </c>
      <c r="E108" s="19" t="s">
        <v>4</v>
      </c>
      <c r="F108" s="9" t="s">
        <v>11</v>
      </c>
      <c r="G108" t="s">
        <v>5</v>
      </c>
      <c r="H108" t="s">
        <v>337</v>
      </c>
    </row>
    <row r="109" spans="1:8" x14ac:dyDescent="0.25">
      <c r="A109" s="18">
        <v>46199</v>
      </c>
      <c r="B109" s="4" t="s">
        <v>6</v>
      </c>
      <c r="C109" s="23">
        <v>15</v>
      </c>
      <c r="E109" s="19" t="s">
        <v>10</v>
      </c>
      <c r="F109" s="9" t="s">
        <v>16</v>
      </c>
      <c r="G109" s="7" t="s">
        <v>13</v>
      </c>
      <c r="H109" t="s">
        <v>338</v>
      </c>
    </row>
    <row r="110" spans="1:8" x14ac:dyDescent="0.25">
      <c r="A110" s="18">
        <v>46199</v>
      </c>
      <c r="B110" s="4" t="s">
        <v>6</v>
      </c>
      <c r="C110" s="23">
        <v>10</v>
      </c>
      <c r="D110" s="2">
        <v>8</v>
      </c>
      <c r="E110" s="19" t="s">
        <v>10</v>
      </c>
      <c r="F110" s="9" t="s">
        <v>11</v>
      </c>
      <c r="G110" t="s">
        <v>13</v>
      </c>
    </row>
    <row r="111" spans="1:8" x14ac:dyDescent="0.25">
      <c r="A111" s="18">
        <v>46199</v>
      </c>
      <c r="B111" s="4" t="s">
        <v>8</v>
      </c>
      <c r="C111" s="23">
        <v>0</v>
      </c>
      <c r="D111" s="2">
        <v>8</v>
      </c>
      <c r="E111" s="19"/>
      <c r="F111" s="9"/>
    </row>
    <row r="112" spans="1:8" x14ac:dyDescent="0.25">
      <c r="A112" s="18">
        <v>46200</v>
      </c>
      <c r="B112" s="4" t="s">
        <v>3</v>
      </c>
      <c r="C112" s="23">
        <v>90</v>
      </c>
      <c r="D112" s="2">
        <v>8</v>
      </c>
      <c r="E112" s="19" t="s">
        <v>4</v>
      </c>
      <c r="F112" s="9" t="s">
        <v>138</v>
      </c>
      <c r="G112" t="s">
        <v>5</v>
      </c>
      <c r="H112" t="s">
        <v>339</v>
      </c>
    </row>
    <row r="113" spans="1:8" x14ac:dyDescent="0.25">
      <c r="A113" s="18">
        <v>46200</v>
      </c>
      <c r="B113" s="4" t="s">
        <v>6</v>
      </c>
      <c r="C113" s="23">
        <v>15</v>
      </c>
      <c r="E113" s="19" t="s">
        <v>10</v>
      </c>
      <c r="F113" s="9" t="s">
        <v>11</v>
      </c>
      <c r="G113" t="s">
        <v>13</v>
      </c>
    </row>
    <row r="114" spans="1:8" x14ac:dyDescent="0.25">
      <c r="A114" s="18">
        <v>46200</v>
      </c>
      <c r="B114" s="4" t="s">
        <v>6</v>
      </c>
      <c r="C114" s="23">
        <v>10</v>
      </c>
      <c r="D114" s="2">
        <v>8</v>
      </c>
      <c r="E114" s="19" t="s">
        <v>10</v>
      </c>
      <c r="F114" s="9" t="s">
        <v>11</v>
      </c>
      <c r="G114" t="s">
        <v>13</v>
      </c>
      <c r="H114" t="s">
        <v>334</v>
      </c>
    </row>
    <row r="115" spans="1:8" x14ac:dyDescent="0.25">
      <c r="A115" s="18">
        <v>46200</v>
      </c>
      <c r="B115" s="4" t="s">
        <v>8</v>
      </c>
      <c r="C115" s="23">
        <v>120</v>
      </c>
      <c r="D115" s="2">
        <v>8</v>
      </c>
      <c r="E115" t="s">
        <v>37</v>
      </c>
      <c r="F115" t="s">
        <v>11</v>
      </c>
      <c r="G115" s="9" t="s">
        <v>38</v>
      </c>
      <c r="H115" t="s">
        <v>212</v>
      </c>
    </row>
    <row r="116" spans="1:8" x14ac:dyDescent="0.25">
      <c r="A116" s="18">
        <v>46201</v>
      </c>
      <c r="B116" s="4" t="s">
        <v>6</v>
      </c>
      <c r="C116" s="23">
        <v>0</v>
      </c>
      <c r="D116" s="2">
        <v>8</v>
      </c>
      <c r="G116" s="7"/>
    </row>
    <row r="117" spans="1:8" x14ac:dyDescent="0.25">
      <c r="A117" s="18">
        <v>46201</v>
      </c>
      <c r="B117" s="4" t="s">
        <v>8</v>
      </c>
      <c r="C117" s="23">
        <v>15</v>
      </c>
      <c r="D117" s="2">
        <v>8</v>
      </c>
      <c r="E117" s="19" t="s">
        <v>4</v>
      </c>
      <c r="F117" s="9" t="s">
        <v>29</v>
      </c>
      <c r="G117" t="s">
        <v>5</v>
      </c>
      <c r="H117" t="s">
        <v>340</v>
      </c>
    </row>
    <row r="118" spans="1:8" x14ac:dyDescent="0.25">
      <c r="A118" s="18">
        <v>46202</v>
      </c>
      <c r="B118" s="4" t="s">
        <v>6</v>
      </c>
      <c r="C118" s="23">
        <v>25</v>
      </c>
      <c r="E118" s="19" t="s">
        <v>10</v>
      </c>
      <c r="F118" s="9" t="s">
        <v>16</v>
      </c>
      <c r="G118" t="s">
        <v>13</v>
      </c>
      <c r="H118" t="s">
        <v>341</v>
      </c>
    </row>
    <row r="119" spans="1:8" x14ac:dyDescent="0.25">
      <c r="A119" s="18">
        <v>46202</v>
      </c>
      <c r="B119" s="4" t="s">
        <v>6</v>
      </c>
      <c r="C119" s="23">
        <v>10</v>
      </c>
      <c r="E119" s="19" t="s">
        <v>10</v>
      </c>
      <c r="F119" s="9" t="s">
        <v>11</v>
      </c>
      <c r="G119" t="s">
        <v>13</v>
      </c>
      <c r="H119" t="s">
        <v>84</v>
      </c>
    </row>
    <row r="120" spans="1:8" x14ac:dyDescent="0.25">
      <c r="A120" s="18">
        <v>46202</v>
      </c>
      <c r="B120" s="4" t="s">
        <v>6</v>
      </c>
      <c r="C120" s="23">
        <v>65</v>
      </c>
      <c r="D120" s="2">
        <v>8</v>
      </c>
      <c r="E120" s="19" t="s">
        <v>4</v>
      </c>
      <c r="F120" s="9" t="s">
        <v>17</v>
      </c>
      <c r="G120" t="s">
        <v>7</v>
      </c>
      <c r="H120" t="s">
        <v>342</v>
      </c>
    </row>
    <row r="121" spans="1:8" x14ac:dyDescent="0.25">
      <c r="A121" s="18">
        <v>46202</v>
      </c>
      <c r="B121" s="4" t="s">
        <v>8</v>
      </c>
      <c r="C121" s="23">
        <v>15</v>
      </c>
      <c r="E121" s="19" t="s">
        <v>10</v>
      </c>
      <c r="F121" s="9" t="s">
        <v>16</v>
      </c>
      <c r="G121" t="s">
        <v>13</v>
      </c>
      <c r="H121" t="s">
        <v>343</v>
      </c>
    </row>
    <row r="122" spans="1:8" x14ac:dyDescent="0.25">
      <c r="A122" s="18">
        <v>46202</v>
      </c>
      <c r="B122" s="4" t="s">
        <v>8</v>
      </c>
      <c r="C122" s="23">
        <v>15</v>
      </c>
      <c r="E122" s="19" t="s">
        <v>10</v>
      </c>
      <c r="F122" s="9" t="s">
        <v>23</v>
      </c>
      <c r="G122" t="s">
        <v>18</v>
      </c>
      <c r="H122" t="s">
        <v>307</v>
      </c>
    </row>
    <row r="123" spans="1:8" x14ac:dyDescent="0.25">
      <c r="A123" s="18">
        <v>46202</v>
      </c>
      <c r="B123" s="4" t="s">
        <v>8</v>
      </c>
      <c r="C123" s="23">
        <v>25</v>
      </c>
      <c r="E123" s="19" t="s">
        <v>4</v>
      </c>
      <c r="F123" s="9" t="s">
        <v>23</v>
      </c>
      <c r="G123" s="9" t="s">
        <v>5</v>
      </c>
      <c r="H123" t="s">
        <v>344</v>
      </c>
    </row>
    <row r="124" spans="1:8" x14ac:dyDescent="0.25">
      <c r="A124" s="18">
        <v>46202</v>
      </c>
      <c r="B124" s="4" t="s">
        <v>8</v>
      </c>
      <c r="C124" s="23">
        <v>10</v>
      </c>
      <c r="D124" s="2">
        <v>8</v>
      </c>
      <c r="E124" s="19" t="s">
        <v>10</v>
      </c>
      <c r="F124" s="9" t="s">
        <v>24</v>
      </c>
      <c r="G124" s="9" t="s">
        <v>25</v>
      </c>
    </row>
    <row r="125" spans="1:8" x14ac:dyDescent="0.25">
      <c r="A125" s="18">
        <v>46202</v>
      </c>
      <c r="B125" s="4" t="s">
        <v>3</v>
      </c>
      <c r="C125" s="23">
        <v>60</v>
      </c>
      <c r="E125" s="19" t="s">
        <v>4</v>
      </c>
      <c r="F125" s="9" t="s">
        <v>23</v>
      </c>
      <c r="G125" s="9" t="s">
        <v>5</v>
      </c>
      <c r="H125" t="s">
        <v>345</v>
      </c>
    </row>
    <row r="126" spans="1:8" x14ac:dyDescent="0.25">
      <c r="A126" s="18">
        <v>46202</v>
      </c>
      <c r="B126" s="4" t="s">
        <v>3</v>
      </c>
      <c r="C126" s="23">
        <v>10</v>
      </c>
      <c r="D126" s="2">
        <v>8</v>
      </c>
      <c r="E126" s="19" t="s">
        <v>10</v>
      </c>
      <c r="F126" s="9" t="s">
        <v>16</v>
      </c>
      <c r="G126" t="s">
        <v>13</v>
      </c>
      <c r="H126" t="s">
        <v>346</v>
      </c>
    </row>
    <row r="127" spans="1:8" x14ac:dyDescent="0.25">
      <c r="A127" s="18">
        <v>46203</v>
      </c>
      <c r="B127" s="4" t="s">
        <v>6</v>
      </c>
      <c r="C127" s="23">
        <v>10</v>
      </c>
      <c r="D127" s="2">
        <v>8</v>
      </c>
      <c r="E127" s="19" t="s">
        <v>10</v>
      </c>
      <c r="F127" s="9" t="s">
        <v>11</v>
      </c>
      <c r="G127" t="s">
        <v>13</v>
      </c>
      <c r="H127" t="s">
        <v>84</v>
      </c>
    </row>
    <row r="128" spans="1:8" x14ac:dyDescent="0.25">
      <c r="A128" s="18">
        <v>46203</v>
      </c>
      <c r="B128" s="4" t="s">
        <v>8</v>
      </c>
      <c r="C128" s="23">
        <v>10</v>
      </c>
      <c r="E128" s="19" t="s">
        <v>10</v>
      </c>
      <c r="F128" s="9" t="s">
        <v>11</v>
      </c>
      <c r="G128" t="s">
        <v>13</v>
      </c>
    </row>
    <row r="129" spans="1:8" x14ac:dyDescent="0.25">
      <c r="A129" s="18">
        <v>46203</v>
      </c>
      <c r="B129" s="4" t="s">
        <v>8</v>
      </c>
      <c r="C129" s="23">
        <v>40</v>
      </c>
      <c r="E129" s="19" t="s">
        <v>4</v>
      </c>
      <c r="F129" s="9" t="s">
        <v>11</v>
      </c>
      <c r="G129" t="s">
        <v>5</v>
      </c>
      <c r="H129" t="s">
        <v>347</v>
      </c>
    </row>
    <row r="130" spans="1:8" x14ac:dyDescent="0.25">
      <c r="A130" s="18">
        <v>46203</v>
      </c>
      <c r="B130" s="4" t="s">
        <v>8</v>
      </c>
      <c r="C130" s="23">
        <v>20</v>
      </c>
      <c r="D130" s="2">
        <v>8</v>
      </c>
      <c r="E130" s="19" t="s">
        <v>10</v>
      </c>
      <c r="F130" s="9" t="s">
        <v>11</v>
      </c>
      <c r="G130" t="s">
        <v>13</v>
      </c>
    </row>
    <row r="131" spans="1:8" x14ac:dyDescent="0.25">
      <c r="A131" s="18">
        <v>46203</v>
      </c>
      <c r="B131" s="4" t="s">
        <v>3</v>
      </c>
      <c r="C131" s="23">
        <v>0</v>
      </c>
      <c r="D131" s="2">
        <v>8</v>
      </c>
    </row>
    <row r="132" spans="1:8" x14ac:dyDescent="0.25">
      <c r="A132" s="18"/>
      <c r="B132" s="4"/>
      <c r="C132" s="23"/>
    </row>
    <row r="133" spans="1:8" x14ac:dyDescent="0.25">
      <c r="A133" s="18"/>
      <c r="B133" s="4"/>
      <c r="C133" s="23"/>
    </row>
    <row r="134" spans="1:8" x14ac:dyDescent="0.25">
      <c r="A134" s="18"/>
      <c r="B134" s="4"/>
      <c r="C134" s="23"/>
    </row>
    <row r="135" spans="1:8" x14ac:dyDescent="0.25">
      <c r="A135" s="18"/>
      <c r="B135" s="4"/>
      <c r="C135" s="23"/>
    </row>
    <row r="136" spans="1:8" x14ac:dyDescent="0.25">
      <c r="A136" s="18"/>
      <c r="B136" s="4"/>
      <c r="C136" s="23"/>
    </row>
    <row r="137" spans="1:8" x14ac:dyDescent="0.25">
      <c r="A137" s="18"/>
      <c r="B137" s="4"/>
      <c r="C137" s="23"/>
    </row>
    <row r="138" spans="1:8" x14ac:dyDescent="0.25">
      <c r="A138" s="18"/>
      <c r="B138" s="4"/>
      <c r="C138" s="23"/>
    </row>
    <row r="139" spans="1:8" x14ac:dyDescent="0.25">
      <c r="A139" s="18"/>
      <c r="B139" s="4"/>
      <c r="C139" s="23"/>
    </row>
    <row r="140" spans="1:8" x14ac:dyDescent="0.25">
      <c r="A140" s="18"/>
      <c r="B140" s="4"/>
      <c r="C140" s="23"/>
    </row>
    <row r="141" spans="1:8" x14ac:dyDescent="0.25">
      <c r="A141" s="18"/>
      <c r="B141" s="4"/>
      <c r="C141" s="23"/>
    </row>
    <row r="142" spans="1:8" x14ac:dyDescent="0.25">
      <c r="A142" s="18"/>
      <c r="B142" s="4"/>
      <c r="C142" s="23"/>
    </row>
    <row r="143" spans="1:8" x14ac:dyDescent="0.25">
      <c r="A143" s="18"/>
      <c r="B143" s="4"/>
      <c r="C143" s="23"/>
    </row>
    <row r="144" spans="1:8" x14ac:dyDescent="0.25">
      <c r="A144" s="18"/>
      <c r="B144" s="4"/>
      <c r="C144" s="23"/>
    </row>
    <row r="145" spans="1:7" x14ac:dyDescent="0.25">
      <c r="A145" s="18"/>
      <c r="B145" s="4"/>
      <c r="C145" s="23"/>
    </row>
    <row r="146" spans="1:7" x14ac:dyDescent="0.25">
      <c r="A146" s="18"/>
      <c r="B146" s="4"/>
      <c r="C146" s="23"/>
    </row>
    <row r="147" spans="1:7" x14ac:dyDescent="0.25">
      <c r="A147" s="18"/>
      <c r="B147" s="4"/>
      <c r="C147" s="23"/>
    </row>
    <row r="148" spans="1:7" x14ac:dyDescent="0.25">
      <c r="A148" s="18"/>
      <c r="B148" s="4"/>
      <c r="C148" s="23"/>
    </row>
    <row r="149" spans="1:7" x14ac:dyDescent="0.25">
      <c r="A149" s="18"/>
      <c r="B149" s="4"/>
      <c r="C149" s="23"/>
    </row>
    <row r="150" spans="1:7" x14ac:dyDescent="0.25">
      <c r="A150" s="18"/>
      <c r="B150" s="4"/>
      <c r="C150" s="23"/>
    </row>
    <row r="151" spans="1:7" x14ac:dyDescent="0.25">
      <c r="A151" s="18"/>
      <c r="B151" s="4"/>
      <c r="C151" s="23"/>
    </row>
    <row r="152" spans="1:7" x14ac:dyDescent="0.25">
      <c r="A152" s="18"/>
      <c r="B152" s="4"/>
      <c r="C152" s="23"/>
    </row>
    <row r="153" spans="1:7" x14ac:dyDescent="0.25">
      <c r="A153" s="18"/>
      <c r="B153" s="4"/>
      <c r="C153" s="23"/>
    </row>
    <row r="154" spans="1:7" x14ac:dyDescent="0.25">
      <c r="A154" s="18"/>
      <c r="B154" s="4"/>
      <c r="C154" s="23"/>
    </row>
    <row r="155" spans="1:7" x14ac:dyDescent="0.25">
      <c r="A155" s="18"/>
      <c r="B155" s="4"/>
      <c r="C155" s="23"/>
    </row>
    <row r="156" spans="1:7" x14ac:dyDescent="0.25">
      <c r="A156" s="18"/>
      <c r="B156" s="4"/>
      <c r="C156" s="23"/>
    </row>
    <row r="157" spans="1:7" x14ac:dyDescent="0.25">
      <c r="A157" s="18"/>
      <c r="B157" s="4"/>
      <c r="C157" s="23"/>
      <c r="E157" s="19"/>
      <c r="F157" s="9"/>
      <c r="G157" s="32"/>
    </row>
    <row r="158" spans="1:7" x14ac:dyDescent="0.25">
      <c r="A158" s="18"/>
      <c r="B158" s="4"/>
      <c r="C158" s="23"/>
    </row>
    <row r="159" spans="1:7" x14ac:dyDescent="0.25">
      <c r="A159" s="18"/>
      <c r="B159" s="4"/>
      <c r="C159" s="23"/>
    </row>
    <row r="160" spans="1:7" x14ac:dyDescent="0.25">
      <c r="A160" s="18"/>
      <c r="B160" s="4"/>
      <c r="C160" s="23"/>
    </row>
    <row r="161" spans="1:7" x14ac:dyDescent="0.25">
      <c r="A161" s="18"/>
      <c r="B161" s="4"/>
      <c r="C161" s="23"/>
    </row>
    <row r="162" spans="1:7" x14ac:dyDescent="0.25">
      <c r="A162" s="18"/>
      <c r="B162" s="4"/>
      <c r="C162" s="23"/>
    </row>
    <row r="163" spans="1:7" x14ac:dyDescent="0.25">
      <c r="A163" s="18"/>
      <c r="B163" s="4"/>
      <c r="C163" s="23"/>
      <c r="G163" s="9"/>
    </row>
    <row r="164" spans="1:7" x14ac:dyDescent="0.25">
      <c r="A164" s="18"/>
      <c r="B164" s="4"/>
      <c r="C164" s="23"/>
    </row>
    <row r="165" spans="1:7" x14ac:dyDescent="0.25">
      <c r="A165" s="18"/>
      <c r="B165" s="4"/>
      <c r="C165" s="23"/>
      <c r="G165" s="7"/>
    </row>
    <row r="232" spans="1:3" x14ac:dyDescent="0.25">
      <c r="A232" s="18"/>
      <c r="B232" s="4"/>
      <c r="C232" s="23"/>
    </row>
  </sheetData>
  <autoFilter ref="A1:H232" xr:uid="{2B543102-7F5A-4A58-B7F1-6AA5F3CFE946}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2B6B-A59C-4FC4-9218-6655D3F62DCB}">
  <sheetPr>
    <tabColor theme="4" tint="0.39997558519241921"/>
  </sheetPr>
  <dimension ref="A1:H240"/>
  <sheetViews>
    <sheetView topLeftCell="C1" zoomScaleNormal="100" workbookViewId="0">
      <pane ySplit="1" topLeftCell="A2" activePane="bottomLeft" state="frozen"/>
      <selection activeCell="A33" sqref="A33"/>
      <selection pane="bottomLeft" activeCell="I1" sqref="I1:J1048576"/>
    </sheetView>
  </sheetViews>
  <sheetFormatPr baseColWidth="10" defaultRowHeight="15" x14ac:dyDescent="0.25"/>
  <cols>
    <col min="2" max="2" width="12" bestFit="1" customWidth="1"/>
    <col min="3" max="3" width="16.42578125" customWidth="1"/>
    <col min="4" max="4" width="8.85546875" style="2" bestFit="1" customWidth="1"/>
    <col min="5" max="5" width="16.5703125" bestFit="1" customWidth="1"/>
    <col min="6" max="6" width="18.28515625" customWidth="1"/>
    <col min="7" max="7" width="34.42578125" customWidth="1"/>
    <col min="8" max="8" width="69.5703125" customWidth="1"/>
  </cols>
  <sheetData>
    <row r="1" spans="1:8" s="10" customFormat="1" x14ac:dyDescent="0.25">
      <c r="A1" s="1" t="s">
        <v>40</v>
      </c>
      <c r="B1" s="1" t="s">
        <v>0</v>
      </c>
      <c r="C1" s="1" t="s">
        <v>41</v>
      </c>
      <c r="D1" s="1" t="s">
        <v>42</v>
      </c>
      <c r="E1" s="3" t="s">
        <v>1</v>
      </c>
      <c r="F1" s="3" t="s">
        <v>43</v>
      </c>
      <c r="G1" s="3" t="s">
        <v>2</v>
      </c>
      <c r="H1" s="3" t="s">
        <v>273</v>
      </c>
    </row>
    <row r="2" spans="1:8" x14ac:dyDescent="0.25">
      <c r="A2" s="20">
        <v>46204</v>
      </c>
      <c r="B2" s="21" t="s">
        <v>6</v>
      </c>
      <c r="C2" s="14">
        <v>15</v>
      </c>
      <c r="D2" s="14">
        <v>8</v>
      </c>
      <c r="E2" s="22" t="s">
        <v>10</v>
      </c>
      <c r="F2" s="22" t="s">
        <v>16</v>
      </c>
      <c r="G2" s="22" t="s">
        <v>13</v>
      </c>
      <c r="H2" s="22" t="s">
        <v>204</v>
      </c>
    </row>
    <row r="3" spans="1:8" x14ac:dyDescent="0.25">
      <c r="A3" s="18">
        <v>46204</v>
      </c>
      <c r="B3" s="4" t="s">
        <v>8</v>
      </c>
      <c r="C3" s="23">
        <v>15</v>
      </c>
      <c r="D3" s="2">
        <v>8</v>
      </c>
      <c r="E3" s="19" t="s">
        <v>10</v>
      </c>
      <c r="F3" s="9" t="s">
        <v>21</v>
      </c>
      <c r="G3" s="9" t="s">
        <v>18</v>
      </c>
      <c r="H3" t="s">
        <v>205</v>
      </c>
    </row>
    <row r="4" spans="1:8" x14ac:dyDescent="0.25">
      <c r="A4" s="18">
        <v>46204</v>
      </c>
      <c r="B4" s="4" t="s">
        <v>3</v>
      </c>
      <c r="C4" s="23">
        <v>10</v>
      </c>
      <c r="D4" s="2">
        <v>8</v>
      </c>
      <c r="E4" s="19" t="s">
        <v>10</v>
      </c>
      <c r="F4" s="9" t="s">
        <v>11</v>
      </c>
      <c r="G4" t="s">
        <v>13</v>
      </c>
      <c r="H4" t="s">
        <v>75</v>
      </c>
    </row>
    <row r="5" spans="1:8" x14ac:dyDescent="0.25">
      <c r="A5" s="18">
        <v>46205</v>
      </c>
      <c r="B5" s="4" t="s">
        <v>6</v>
      </c>
      <c r="C5" s="23">
        <v>15</v>
      </c>
      <c r="E5" s="19" t="s">
        <v>10</v>
      </c>
      <c r="F5" s="9" t="s">
        <v>16</v>
      </c>
      <c r="G5" s="9" t="s">
        <v>13</v>
      </c>
      <c r="H5" t="s">
        <v>206</v>
      </c>
    </row>
    <row r="6" spans="1:8" x14ac:dyDescent="0.25">
      <c r="A6" s="18">
        <v>46205</v>
      </c>
      <c r="B6" s="4" t="s">
        <v>6</v>
      </c>
      <c r="C6" s="23">
        <v>15</v>
      </c>
      <c r="D6" s="2">
        <v>8</v>
      </c>
      <c r="E6" s="19" t="s">
        <v>10</v>
      </c>
      <c r="F6" s="9" t="s">
        <v>16</v>
      </c>
      <c r="G6" s="9" t="s">
        <v>13</v>
      </c>
      <c r="H6" t="s">
        <v>207</v>
      </c>
    </row>
    <row r="7" spans="1:8" x14ac:dyDescent="0.25">
      <c r="A7" s="18">
        <v>46205</v>
      </c>
      <c r="B7" s="4" t="s">
        <v>8</v>
      </c>
      <c r="C7" s="23">
        <v>45</v>
      </c>
      <c r="E7" s="19" t="s">
        <v>10</v>
      </c>
      <c r="F7" s="9" t="s">
        <v>16</v>
      </c>
      <c r="G7" s="9" t="s">
        <v>13</v>
      </c>
      <c r="H7" t="s">
        <v>208</v>
      </c>
    </row>
    <row r="8" spans="1:8" x14ac:dyDescent="0.25">
      <c r="A8" s="18">
        <v>46205</v>
      </c>
      <c r="B8" s="4" t="s">
        <v>8</v>
      </c>
      <c r="C8" s="23">
        <v>40</v>
      </c>
      <c r="D8" s="2">
        <v>8</v>
      </c>
      <c r="E8" s="19" t="s">
        <v>4</v>
      </c>
      <c r="F8" s="9" t="s">
        <v>31</v>
      </c>
      <c r="G8" s="9" t="s">
        <v>5</v>
      </c>
      <c r="H8" t="s">
        <v>209</v>
      </c>
    </row>
    <row r="9" spans="1:8" x14ac:dyDescent="0.25">
      <c r="A9" s="18">
        <v>46205</v>
      </c>
      <c r="B9" s="4" t="s">
        <v>3</v>
      </c>
      <c r="C9" s="23">
        <v>0</v>
      </c>
      <c r="D9" s="2">
        <v>8</v>
      </c>
      <c r="E9" s="19"/>
      <c r="F9" s="9"/>
      <c r="G9" s="9"/>
    </row>
    <row r="10" spans="1:8" s="10" customFormat="1" ht="30" x14ac:dyDescent="0.25">
      <c r="A10" s="24">
        <v>46206</v>
      </c>
      <c r="B10" s="4" t="s">
        <v>6</v>
      </c>
      <c r="C10" s="25">
        <v>150</v>
      </c>
      <c r="D10" s="26">
        <v>8</v>
      </c>
      <c r="E10" s="19" t="s">
        <v>4</v>
      </c>
      <c r="F10" s="27" t="s">
        <v>210</v>
      </c>
      <c r="G10" s="27" t="s">
        <v>5</v>
      </c>
      <c r="H10" s="28" t="s">
        <v>211</v>
      </c>
    </row>
    <row r="11" spans="1:8" x14ac:dyDescent="0.25">
      <c r="A11" s="24">
        <v>46206</v>
      </c>
      <c r="B11" s="4" t="s">
        <v>8</v>
      </c>
      <c r="C11" s="23">
        <v>120</v>
      </c>
      <c r="E11" t="s">
        <v>37</v>
      </c>
      <c r="F11" t="s">
        <v>11</v>
      </c>
      <c r="G11" s="9" t="s">
        <v>38</v>
      </c>
      <c r="H11" t="s">
        <v>212</v>
      </c>
    </row>
    <row r="12" spans="1:8" x14ac:dyDescent="0.25">
      <c r="A12" s="24">
        <v>46206</v>
      </c>
      <c r="B12" s="4" t="s">
        <v>8</v>
      </c>
      <c r="C12" s="23">
        <v>20</v>
      </c>
      <c r="E12" s="19" t="s">
        <v>10</v>
      </c>
      <c r="F12" s="9" t="s">
        <v>11</v>
      </c>
      <c r="G12" t="s">
        <v>13</v>
      </c>
      <c r="H12" t="s">
        <v>75</v>
      </c>
    </row>
    <row r="13" spans="1:8" x14ac:dyDescent="0.25">
      <c r="A13" s="24">
        <v>46206</v>
      </c>
      <c r="B13" s="4" t="s">
        <v>8</v>
      </c>
      <c r="C13" s="23">
        <v>10</v>
      </c>
      <c r="E13" s="19" t="s">
        <v>10</v>
      </c>
      <c r="F13" s="9" t="s">
        <v>11</v>
      </c>
      <c r="G13" t="s">
        <v>13</v>
      </c>
      <c r="H13" t="s">
        <v>75</v>
      </c>
    </row>
    <row r="14" spans="1:8" x14ac:dyDescent="0.25">
      <c r="A14" s="24">
        <v>46206</v>
      </c>
      <c r="B14" s="4" t="s">
        <v>8</v>
      </c>
      <c r="C14" s="23">
        <v>10</v>
      </c>
      <c r="E14" s="19" t="s">
        <v>10</v>
      </c>
      <c r="F14" s="9" t="s">
        <v>28</v>
      </c>
      <c r="G14" s="9" t="s">
        <v>18</v>
      </c>
    </row>
    <row r="15" spans="1:8" x14ac:dyDescent="0.25">
      <c r="A15" s="24">
        <v>46206</v>
      </c>
      <c r="B15" s="4" t="s">
        <v>8</v>
      </c>
      <c r="C15" s="23">
        <v>10</v>
      </c>
      <c r="D15" s="2">
        <v>8</v>
      </c>
      <c r="E15" s="19" t="s">
        <v>10</v>
      </c>
      <c r="F15" s="9" t="s">
        <v>21</v>
      </c>
      <c r="G15" s="9" t="s">
        <v>25</v>
      </c>
      <c r="H15" s="29"/>
    </row>
    <row r="16" spans="1:8" x14ac:dyDescent="0.25">
      <c r="A16" s="24">
        <v>46206</v>
      </c>
      <c r="B16" s="4" t="s">
        <v>3</v>
      </c>
      <c r="C16" s="23">
        <v>50</v>
      </c>
      <c r="D16" s="2">
        <v>8</v>
      </c>
      <c r="E16" t="s">
        <v>37</v>
      </c>
      <c r="F16" t="s">
        <v>11</v>
      </c>
      <c r="G16" s="9" t="s">
        <v>38</v>
      </c>
      <c r="H16" t="s">
        <v>212</v>
      </c>
    </row>
    <row r="17" spans="1:8" x14ac:dyDescent="0.25">
      <c r="A17" s="18">
        <v>46207</v>
      </c>
      <c r="B17" s="4" t="s">
        <v>6</v>
      </c>
      <c r="C17" s="23">
        <v>20</v>
      </c>
      <c r="D17" s="2">
        <v>8</v>
      </c>
      <c r="E17" s="19" t="s">
        <v>10</v>
      </c>
      <c r="F17" s="9" t="s">
        <v>210</v>
      </c>
      <c r="G17" s="9" t="s">
        <v>18</v>
      </c>
      <c r="H17" t="s">
        <v>213</v>
      </c>
    </row>
    <row r="18" spans="1:8" x14ac:dyDescent="0.25">
      <c r="A18" s="18">
        <v>46207</v>
      </c>
      <c r="B18" s="4" t="s">
        <v>8</v>
      </c>
      <c r="C18" s="23">
        <v>25</v>
      </c>
      <c r="E18" s="19" t="s">
        <v>10</v>
      </c>
      <c r="F18" s="9" t="s">
        <v>28</v>
      </c>
      <c r="G18" s="9" t="s">
        <v>18</v>
      </c>
      <c r="H18" s="29" t="s">
        <v>128</v>
      </c>
    </row>
    <row r="19" spans="1:8" x14ac:dyDescent="0.25">
      <c r="A19" s="18">
        <v>46207</v>
      </c>
      <c r="B19" s="4" t="s">
        <v>8</v>
      </c>
      <c r="C19" s="23">
        <v>10</v>
      </c>
      <c r="E19" s="19" t="s">
        <v>10</v>
      </c>
      <c r="F19" s="9" t="s">
        <v>11</v>
      </c>
      <c r="G19" t="s">
        <v>13</v>
      </c>
      <c r="H19" s="29"/>
    </row>
    <row r="20" spans="1:8" x14ac:dyDescent="0.25">
      <c r="A20" s="18">
        <v>46207</v>
      </c>
      <c r="B20" s="4" t="s">
        <v>8</v>
      </c>
      <c r="C20" s="23">
        <v>10</v>
      </c>
      <c r="E20" s="19" t="s">
        <v>10</v>
      </c>
      <c r="F20" s="9" t="s">
        <v>11</v>
      </c>
      <c r="G20" t="s">
        <v>13</v>
      </c>
    </row>
    <row r="21" spans="1:8" x14ac:dyDescent="0.25">
      <c r="A21" s="18">
        <v>46207</v>
      </c>
      <c r="B21" s="4" t="s">
        <v>8</v>
      </c>
      <c r="C21" s="23">
        <v>10</v>
      </c>
      <c r="E21" s="19" t="s">
        <v>10</v>
      </c>
      <c r="F21" s="9" t="s">
        <v>11</v>
      </c>
      <c r="G21" t="s">
        <v>13</v>
      </c>
      <c r="H21" s="29"/>
    </row>
    <row r="22" spans="1:8" x14ac:dyDescent="0.25">
      <c r="A22" s="18">
        <v>46207</v>
      </c>
      <c r="B22" s="4" t="s">
        <v>8</v>
      </c>
      <c r="C22" s="23">
        <v>10</v>
      </c>
      <c r="D22" s="2">
        <v>8</v>
      </c>
      <c r="E22" s="19" t="s">
        <v>10</v>
      </c>
      <c r="F22" s="9" t="s">
        <v>11</v>
      </c>
      <c r="G22" t="s">
        <v>13</v>
      </c>
      <c r="H22" s="9"/>
    </row>
    <row r="23" spans="1:8" x14ac:dyDescent="0.25">
      <c r="A23" s="18">
        <v>46207</v>
      </c>
      <c r="B23" s="4" t="s">
        <v>3</v>
      </c>
      <c r="C23" s="23">
        <v>10</v>
      </c>
      <c r="E23" s="19" t="s">
        <v>10</v>
      </c>
      <c r="F23" s="9" t="s">
        <v>16</v>
      </c>
      <c r="G23" s="9" t="s">
        <v>13</v>
      </c>
      <c r="H23" s="29" t="s">
        <v>214</v>
      </c>
    </row>
    <row r="24" spans="1:8" x14ac:dyDescent="0.25">
      <c r="A24" s="18">
        <v>46207</v>
      </c>
      <c r="B24" s="4" t="s">
        <v>3</v>
      </c>
      <c r="C24" s="23">
        <v>15</v>
      </c>
      <c r="D24" s="2">
        <v>8</v>
      </c>
      <c r="E24" s="19" t="s">
        <v>10</v>
      </c>
      <c r="F24" s="9" t="s">
        <v>28</v>
      </c>
      <c r="G24" s="9" t="s">
        <v>18</v>
      </c>
      <c r="H24" s="29" t="s">
        <v>128</v>
      </c>
    </row>
    <row r="25" spans="1:8" x14ac:dyDescent="0.25">
      <c r="A25" s="18">
        <v>46208</v>
      </c>
      <c r="B25" s="4" t="s">
        <v>8</v>
      </c>
      <c r="C25" s="23">
        <v>25</v>
      </c>
      <c r="D25" s="2">
        <v>8</v>
      </c>
      <c r="E25" s="19" t="s">
        <v>33</v>
      </c>
      <c r="F25" s="9" t="s">
        <v>11</v>
      </c>
      <c r="G25" t="s">
        <v>34</v>
      </c>
      <c r="H25" s="29" t="s">
        <v>215</v>
      </c>
    </row>
    <row r="26" spans="1:8" s="10" customFormat="1" x14ac:dyDescent="0.25">
      <c r="A26" s="18">
        <v>46208</v>
      </c>
      <c r="B26" s="4" t="s">
        <v>3</v>
      </c>
      <c r="C26" s="25">
        <v>10</v>
      </c>
      <c r="D26" s="26">
        <v>8</v>
      </c>
      <c r="E26" s="19" t="s">
        <v>10</v>
      </c>
      <c r="F26" s="9" t="s">
        <v>16</v>
      </c>
      <c r="G26" s="9" t="s">
        <v>13</v>
      </c>
      <c r="H26" s="28" t="s">
        <v>216</v>
      </c>
    </row>
    <row r="27" spans="1:8" s="10" customFormat="1" x14ac:dyDescent="0.25">
      <c r="A27" s="18">
        <v>46209</v>
      </c>
      <c r="B27" s="4" t="s">
        <v>8</v>
      </c>
      <c r="C27" s="25">
        <v>10</v>
      </c>
      <c r="D27" s="26">
        <v>8</v>
      </c>
      <c r="E27" s="19" t="s">
        <v>10</v>
      </c>
      <c r="F27" s="9" t="s">
        <v>11</v>
      </c>
      <c r="G27" t="s">
        <v>13</v>
      </c>
      <c r="H27" s="28" t="s">
        <v>217</v>
      </c>
    </row>
    <row r="28" spans="1:8" s="10" customFormat="1" x14ac:dyDescent="0.25">
      <c r="A28" s="18">
        <v>46209</v>
      </c>
      <c r="B28" s="4" t="s">
        <v>3</v>
      </c>
      <c r="C28" s="25">
        <v>10</v>
      </c>
      <c r="D28" s="26"/>
      <c r="E28" s="19" t="s">
        <v>10</v>
      </c>
      <c r="F28" s="9" t="s">
        <v>16</v>
      </c>
      <c r="G28" s="9" t="s">
        <v>13</v>
      </c>
      <c r="H28" s="28" t="s">
        <v>218</v>
      </c>
    </row>
    <row r="29" spans="1:8" s="10" customFormat="1" x14ac:dyDescent="0.25">
      <c r="A29" s="18">
        <v>46209</v>
      </c>
      <c r="B29" s="4" t="s">
        <v>3</v>
      </c>
      <c r="C29" s="25">
        <v>5</v>
      </c>
      <c r="D29" s="26"/>
      <c r="E29" s="19" t="s">
        <v>10</v>
      </c>
      <c r="F29" s="9" t="s">
        <v>11</v>
      </c>
      <c r="G29" t="s">
        <v>13</v>
      </c>
      <c r="H29" s="28"/>
    </row>
    <row r="30" spans="1:8" s="10" customFormat="1" x14ac:dyDescent="0.25">
      <c r="A30" s="18">
        <v>46209</v>
      </c>
      <c r="B30" s="4" t="s">
        <v>3</v>
      </c>
      <c r="C30" s="25">
        <v>15</v>
      </c>
      <c r="D30" s="26">
        <v>8</v>
      </c>
      <c r="E30" s="19" t="s">
        <v>4</v>
      </c>
      <c r="F30" s="9" t="s">
        <v>31</v>
      </c>
      <c r="G30" s="9" t="s">
        <v>62</v>
      </c>
      <c r="H30" s="28" t="s">
        <v>219</v>
      </c>
    </row>
    <row r="31" spans="1:8" s="10" customFormat="1" x14ac:dyDescent="0.25">
      <c r="A31" s="18">
        <v>46209</v>
      </c>
      <c r="B31" s="4" t="s">
        <v>6</v>
      </c>
      <c r="C31" s="25">
        <v>25</v>
      </c>
      <c r="D31" s="26"/>
      <c r="E31" s="19" t="s">
        <v>4</v>
      </c>
      <c r="F31" s="9" t="s">
        <v>31</v>
      </c>
      <c r="G31" s="9" t="s">
        <v>5</v>
      </c>
      <c r="H31" s="28" t="s">
        <v>220</v>
      </c>
    </row>
    <row r="32" spans="1:8" s="10" customFormat="1" x14ac:dyDescent="0.25">
      <c r="A32" s="18">
        <v>46209</v>
      </c>
      <c r="B32" s="4" t="s">
        <v>6</v>
      </c>
      <c r="C32" s="25">
        <v>5</v>
      </c>
      <c r="D32" s="26"/>
      <c r="E32" s="19" t="s">
        <v>10</v>
      </c>
      <c r="F32" s="9" t="s">
        <v>11</v>
      </c>
      <c r="G32" t="s">
        <v>13</v>
      </c>
      <c r="H32" s="28" t="s">
        <v>221</v>
      </c>
    </row>
    <row r="33" spans="1:8" s="10" customFormat="1" x14ac:dyDescent="0.25">
      <c r="A33" s="18">
        <v>46209</v>
      </c>
      <c r="B33" s="4" t="s">
        <v>6</v>
      </c>
      <c r="C33" s="25">
        <v>10</v>
      </c>
      <c r="D33" s="26">
        <v>8</v>
      </c>
      <c r="E33" s="19" t="s">
        <v>10</v>
      </c>
      <c r="F33" s="9" t="s">
        <v>28</v>
      </c>
      <c r="G33" s="9" t="s">
        <v>18</v>
      </c>
      <c r="H33" s="28" t="s">
        <v>222</v>
      </c>
    </row>
    <row r="34" spans="1:8" x14ac:dyDescent="0.25">
      <c r="A34" s="18">
        <v>46210</v>
      </c>
      <c r="B34" s="4" t="s">
        <v>8</v>
      </c>
      <c r="C34" s="23">
        <v>10</v>
      </c>
      <c r="E34" s="19" t="s">
        <v>10</v>
      </c>
      <c r="F34" s="9" t="s">
        <v>21</v>
      </c>
      <c r="G34" s="9" t="s">
        <v>18</v>
      </c>
    </row>
    <row r="35" spans="1:8" x14ac:dyDescent="0.25">
      <c r="A35" s="18">
        <v>46210</v>
      </c>
      <c r="B35" s="4" t="s">
        <v>8</v>
      </c>
      <c r="C35" s="23">
        <v>10</v>
      </c>
      <c r="D35" s="2">
        <v>8</v>
      </c>
      <c r="E35" s="19" t="s">
        <v>10</v>
      </c>
      <c r="F35" s="9" t="s">
        <v>31</v>
      </c>
      <c r="G35" s="9" t="s">
        <v>18</v>
      </c>
      <c r="H35" s="29"/>
    </row>
    <row r="36" spans="1:8" x14ac:dyDescent="0.25">
      <c r="A36" s="18">
        <v>46210</v>
      </c>
      <c r="B36" s="4" t="s">
        <v>3</v>
      </c>
      <c r="C36" s="23">
        <v>130</v>
      </c>
      <c r="E36" t="s">
        <v>37</v>
      </c>
      <c r="F36" t="s">
        <v>11</v>
      </c>
      <c r="G36" s="9" t="s">
        <v>38</v>
      </c>
      <c r="H36" t="s">
        <v>212</v>
      </c>
    </row>
    <row r="37" spans="1:8" x14ac:dyDescent="0.25">
      <c r="A37" s="18">
        <v>46210</v>
      </c>
      <c r="B37" s="4" t="s">
        <v>3</v>
      </c>
      <c r="C37" s="23">
        <v>20</v>
      </c>
      <c r="D37" s="2">
        <v>8</v>
      </c>
      <c r="E37" s="19" t="s">
        <v>10</v>
      </c>
      <c r="F37" s="9" t="s">
        <v>28</v>
      </c>
      <c r="G37" s="9" t="s">
        <v>18</v>
      </c>
      <c r="H37" s="29" t="s">
        <v>223</v>
      </c>
    </row>
    <row r="38" spans="1:8" x14ac:dyDescent="0.25">
      <c r="A38" s="18">
        <v>46210</v>
      </c>
      <c r="B38" s="4" t="s">
        <v>6</v>
      </c>
      <c r="C38" s="23">
        <v>0</v>
      </c>
      <c r="D38" s="2">
        <v>8</v>
      </c>
      <c r="E38" s="19"/>
      <c r="F38" s="9"/>
      <c r="H38" s="29"/>
    </row>
    <row r="39" spans="1:8" x14ac:dyDescent="0.25">
      <c r="A39" s="18">
        <v>46211</v>
      </c>
      <c r="B39" s="4" t="s">
        <v>8</v>
      </c>
      <c r="C39" s="23">
        <v>20</v>
      </c>
      <c r="E39" s="19" t="s">
        <v>4</v>
      </c>
      <c r="F39" s="9" t="s">
        <v>17</v>
      </c>
      <c r="G39" s="9" t="s">
        <v>7</v>
      </c>
      <c r="H39" s="29" t="s">
        <v>224</v>
      </c>
    </row>
    <row r="40" spans="1:8" x14ac:dyDescent="0.25">
      <c r="A40" s="18">
        <v>46211</v>
      </c>
      <c r="B40" s="4" t="s">
        <v>8</v>
      </c>
      <c r="C40" s="23">
        <v>10</v>
      </c>
      <c r="E40" s="19" t="s">
        <v>10</v>
      </c>
      <c r="F40" s="9" t="s">
        <v>11</v>
      </c>
      <c r="G40" s="9" t="s">
        <v>13</v>
      </c>
      <c r="H40" s="29" t="s">
        <v>225</v>
      </c>
    </row>
    <row r="41" spans="1:8" x14ac:dyDescent="0.25">
      <c r="A41" s="18">
        <v>46211</v>
      </c>
      <c r="B41" s="4" t="s">
        <v>8</v>
      </c>
      <c r="C41" s="23">
        <v>15</v>
      </c>
      <c r="D41" s="2">
        <v>8</v>
      </c>
      <c r="E41" s="19" t="s">
        <v>10</v>
      </c>
      <c r="F41" s="9" t="s">
        <v>21</v>
      </c>
      <c r="G41" s="9" t="s">
        <v>18</v>
      </c>
      <c r="H41" s="29" t="s">
        <v>226</v>
      </c>
    </row>
    <row r="42" spans="1:8" x14ac:dyDescent="0.25">
      <c r="A42" s="18">
        <v>46211</v>
      </c>
      <c r="B42" s="4" t="s">
        <v>3</v>
      </c>
      <c r="C42" s="23">
        <v>20</v>
      </c>
      <c r="E42" s="19" t="s">
        <v>10</v>
      </c>
      <c r="F42" s="9" t="s">
        <v>28</v>
      </c>
      <c r="G42" s="9" t="s">
        <v>18</v>
      </c>
      <c r="H42" s="29" t="s">
        <v>227</v>
      </c>
    </row>
    <row r="43" spans="1:8" x14ac:dyDescent="0.25">
      <c r="A43" s="18">
        <v>46211</v>
      </c>
      <c r="B43" s="4" t="s">
        <v>3</v>
      </c>
      <c r="C43" s="23">
        <v>20</v>
      </c>
      <c r="E43" s="19" t="s">
        <v>4</v>
      </c>
      <c r="F43" s="9" t="s">
        <v>31</v>
      </c>
      <c r="G43" s="9" t="s">
        <v>5</v>
      </c>
      <c r="H43" s="29" t="s">
        <v>228</v>
      </c>
    </row>
    <row r="44" spans="1:8" x14ac:dyDescent="0.25">
      <c r="A44" s="18">
        <v>46211</v>
      </c>
      <c r="B44" s="4" t="s">
        <v>3</v>
      </c>
      <c r="C44" s="23">
        <v>15</v>
      </c>
      <c r="D44" s="2">
        <v>8</v>
      </c>
      <c r="E44" s="19" t="s">
        <v>4</v>
      </c>
      <c r="F44" s="9" t="s">
        <v>17</v>
      </c>
      <c r="G44" s="9" t="s">
        <v>7</v>
      </c>
      <c r="H44" s="29" t="s">
        <v>229</v>
      </c>
    </row>
    <row r="45" spans="1:8" x14ac:dyDescent="0.25">
      <c r="A45" s="18">
        <v>46211</v>
      </c>
      <c r="B45" s="4" t="s">
        <v>6</v>
      </c>
      <c r="C45" s="23">
        <v>70</v>
      </c>
      <c r="D45" s="2">
        <v>8</v>
      </c>
      <c r="E45" s="19" t="s">
        <v>4</v>
      </c>
      <c r="F45" s="9" t="s">
        <v>29</v>
      </c>
      <c r="G45" s="9" t="s">
        <v>5</v>
      </c>
      <c r="H45" s="29" t="s">
        <v>230</v>
      </c>
    </row>
    <row r="46" spans="1:8" s="10" customFormat="1" ht="45" x14ac:dyDescent="0.25">
      <c r="A46" s="24">
        <v>46213</v>
      </c>
      <c r="B46" s="4" t="s">
        <v>8</v>
      </c>
      <c r="C46" s="25">
        <v>210</v>
      </c>
      <c r="D46" s="26">
        <v>8</v>
      </c>
      <c r="E46" s="19" t="s">
        <v>37</v>
      </c>
      <c r="F46" s="27" t="s">
        <v>11</v>
      </c>
      <c r="G46" s="27" t="s">
        <v>62</v>
      </c>
      <c r="H46" s="28" t="s">
        <v>231</v>
      </c>
    </row>
    <row r="47" spans="1:8" s="10" customFormat="1" ht="45" x14ac:dyDescent="0.25">
      <c r="A47" s="24">
        <v>46213</v>
      </c>
      <c r="B47" s="4" t="s">
        <v>3</v>
      </c>
      <c r="C47" s="25">
        <v>60</v>
      </c>
      <c r="D47" s="26"/>
      <c r="E47" s="19" t="s">
        <v>37</v>
      </c>
      <c r="F47" s="27" t="s">
        <v>11</v>
      </c>
      <c r="G47" s="27" t="s">
        <v>62</v>
      </c>
      <c r="H47" s="28" t="s">
        <v>232</v>
      </c>
    </row>
    <row r="48" spans="1:8" x14ac:dyDescent="0.25">
      <c r="A48" s="24">
        <v>46213</v>
      </c>
      <c r="B48" s="4" t="s">
        <v>3</v>
      </c>
      <c r="C48" s="23">
        <v>10</v>
      </c>
      <c r="D48" s="2">
        <v>8</v>
      </c>
      <c r="E48" s="19" t="s">
        <v>10</v>
      </c>
      <c r="F48" s="9" t="s">
        <v>11</v>
      </c>
      <c r="G48" s="9" t="s">
        <v>13</v>
      </c>
      <c r="H48" s="29" t="s">
        <v>233</v>
      </c>
    </row>
    <row r="49" spans="1:8" x14ac:dyDescent="0.25">
      <c r="A49" s="24">
        <v>46213</v>
      </c>
      <c r="B49" s="4" t="s">
        <v>6</v>
      </c>
      <c r="C49" s="23">
        <v>0</v>
      </c>
      <c r="D49" s="2">
        <v>8</v>
      </c>
      <c r="E49" s="19"/>
      <c r="F49" s="9"/>
    </row>
    <row r="50" spans="1:8" x14ac:dyDescent="0.25">
      <c r="A50" s="18">
        <v>46214</v>
      </c>
      <c r="B50" s="4" t="s">
        <v>8</v>
      </c>
      <c r="C50" s="23">
        <v>10</v>
      </c>
      <c r="E50" s="19" t="s">
        <v>10</v>
      </c>
      <c r="F50" s="9" t="s">
        <v>11</v>
      </c>
      <c r="G50" s="9" t="s">
        <v>13</v>
      </c>
    </row>
    <row r="51" spans="1:8" x14ac:dyDescent="0.25">
      <c r="A51" s="18">
        <v>46214</v>
      </c>
      <c r="B51" s="4" t="s">
        <v>8</v>
      </c>
      <c r="C51" s="23">
        <v>10</v>
      </c>
      <c r="D51" s="2">
        <v>8</v>
      </c>
      <c r="E51" s="19" t="s">
        <v>10</v>
      </c>
      <c r="F51" s="9" t="s">
        <v>11</v>
      </c>
      <c r="G51" s="9" t="s">
        <v>13</v>
      </c>
    </row>
    <row r="52" spans="1:8" x14ac:dyDescent="0.25">
      <c r="A52" s="18">
        <v>46214</v>
      </c>
      <c r="B52" s="4" t="s">
        <v>3</v>
      </c>
      <c r="C52" s="23">
        <v>0</v>
      </c>
      <c r="D52" s="2">
        <v>8</v>
      </c>
      <c r="E52" s="19"/>
      <c r="F52" s="9"/>
    </row>
    <row r="53" spans="1:8" x14ac:dyDescent="0.25">
      <c r="A53" s="18">
        <v>46214</v>
      </c>
      <c r="B53" s="4" t="s">
        <v>6</v>
      </c>
      <c r="C53" s="2">
        <v>180</v>
      </c>
      <c r="D53" s="2">
        <v>8</v>
      </c>
      <c r="E53" t="s">
        <v>37</v>
      </c>
      <c r="F53" t="s">
        <v>11</v>
      </c>
      <c r="G53" s="9" t="s">
        <v>38</v>
      </c>
      <c r="H53" t="s">
        <v>212</v>
      </c>
    </row>
    <row r="54" spans="1:8" x14ac:dyDescent="0.25">
      <c r="A54" s="18">
        <v>46215</v>
      </c>
      <c r="B54" s="4" t="s">
        <v>6</v>
      </c>
      <c r="C54" s="23">
        <v>10</v>
      </c>
      <c r="E54" s="19" t="s">
        <v>10</v>
      </c>
      <c r="F54" s="9" t="s">
        <v>11</v>
      </c>
      <c r="G54" s="9" t="s">
        <v>167</v>
      </c>
    </row>
    <row r="55" spans="1:8" x14ac:dyDescent="0.25">
      <c r="A55" s="18">
        <v>46215</v>
      </c>
      <c r="B55" s="4" t="s">
        <v>6</v>
      </c>
      <c r="C55" s="23">
        <v>10</v>
      </c>
      <c r="E55" s="19" t="s">
        <v>10</v>
      </c>
      <c r="F55" s="9" t="s">
        <v>11</v>
      </c>
      <c r="G55" s="9" t="s">
        <v>13</v>
      </c>
    </row>
    <row r="56" spans="1:8" x14ac:dyDescent="0.25">
      <c r="A56" s="18">
        <v>46215</v>
      </c>
      <c r="B56" s="4" t="s">
        <v>6</v>
      </c>
      <c r="C56" s="23">
        <v>15</v>
      </c>
      <c r="D56" s="2">
        <v>8</v>
      </c>
      <c r="E56" s="19" t="s">
        <v>10</v>
      </c>
      <c r="F56" s="9" t="s">
        <v>24</v>
      </c>
      <c r="G56" s="9" t="s">
        <v>25</v>
      </c>
    </row>
    <row r="57" spans="1:8" x14ac:dyDescent="0.25">
      <c r="A57" s="18">
        <v>46216</v>
      </c>
      <c r="B57" s="4" t="s">
        <v>3</v>
      </c>
      <c r="C57" s="23">
        <v>10</v>
      </c>
      <c r="D57" s="2">
        <v>8</v>
      </c>
      <c r="E57" s="19" t="s">
        <v>10</v>
      </c>
      <c r="F57" s="9" t="s">
        <v>16</v>
      </c>
      <c r="G57" s="9" t="s">
        <v>13</v>
      </c>
      <c r="H57" t="s">
        <v>234</v>
      </c>
    </row>
    <row r="58" spans="1:8" x14ac:dyDescent="0.25">
      <c r="A58" s="18">
        <v>46216</v>
      </c>
      <c r="B58" s="4" t="s">
        <v>6</v>
      </c>
      <c r="C58" s="23">
        <v>15</v>
      </c>
      <c r="E58" s="19" t="s">
        <v>4</v>
      </c>
      <c r="F58" s="9" t="s">
        <v>29</v>
      </c>
      <c r="G58" s="7" t="s">
        <v>5</v>
      </c>
      <c r="H58" t="s">
        <v>235</v>
      </c>
    </row>
    <row r="59" spans="1:8" x14ac:dyDescent="0.25">
      <c r="A59" s="18">
        <v>46216</v>
      </c>
      <c r="B59" s="4" t="s">
        <v>6</v>
      </c>
      <c r="C59" s="23">
        <v>10</v>
      </c>
      <c r="D59" s="2">
        <v>8</v>
      </c>
      <c r="E59" s="19" t="s">
        <v>10</v>
      </c>
      <c r="F59" s="9" t="s">
        <v>11</v>
      </c>
      <c r="G59" s="9" t="s">
        <v>13</v>
      </c>
      <c r="H59" t="s">
        <v>75</v>
      </c>
    </row>
    <row r="60" spans="1:8" x14ac:dyDescent="0.25">
      <c r="A60" s="18">
        <v>46216</v>
      </c>
      <c r="B60" s="4" t="s">
        <v>8</v>
      </c>
      <c r="C60" s="23">
        <v>5</v>
      </c>
      <c r="E60" s="19" t="s">
        <v>10</v>
      </c>
      <c r="F60" s="9" t="s">
        <v>11</v>
      </c>
      <c r="G60" s="9" t="s">
        <v>13</v>
      </c>
      <c r="H60" t="s">
        <v>75</v>
      </c>
    </row>
    <row r="61" spans="1:8" x14ac:dyDescent="0.25">
      <c r="A61" s="18">
        <v>46216</v>
      </c>
      <c r="B61" s="4" t="s">
        <v>8</v>
      </c>
      <c r="C61" s="23">
        <v>30</v>
      </c>
      <c r="D61" s="2">
        <v>8</v>
      </c>
      <c r="E61" s="19" t="s">
        <v>10</v>
      </c>
      <c r="F61" s="9" t="s">
        <v>28</v>
      </c>
      <c r="G61" s="9" t="s">
        <v>18</v>
      </c>
      <c r="H61" t="s">
        <v>236</v>
      </c>
    </row>
    <row r="62" spans="1:8" x14ac:dyDescent="0.25">
      <c r="A62" s="18">
        <v>46217</v>
      </c>
      <c r="B62" s="4" t="s">
        <v>3</v>
      </c>
      <c r="C62" s="23">
        <v>0</v>
      </c>
      <c r="D62" s="2">
        <v>8</v>
      </c>
      <c r="E62" s="19"/>
      <c r="F62" s="9"/>
      <c r="G62" s="7"/>
    </row>
    <row r="63" spans="1:8" x14ac:dyDescent="0.25">
      <c r="A63" s="18">
        <v>46217</v>
      </c>
      <c r="B63" s="4" t="s">
        <v>6</v>
      </c>
      <c r="C63" s="23">
        <v>20</v>
      </c>
      <c r="E63" s="19" t="s">
        <v>10</v>
      </c>
      <c r="F63" s="9" t="s">
        <v>28</v>
      </c>
      <c r="G63" s="9" t="s">
        <v>18</v>
      </c>
      <c r="H63" t="s">
        <v>237</v>
      </c>
    </row>
    <row r="64" spans="1:8" x14ac:dyDescent="0.25">
      <c r="A64" s="18">
        <v>46217</v>
      </c>
      <c r="B64" s="4" t="s">
        <v>6</v>
      </c>
      <c r="C64" s="23">
        <v>15</v>
      </c>
      <c r="D64" s="2">
        <v>8</v>
      </c>
      <c r="E64" s="19" t="s">
        <v>10</v>
      </c>
      <c r="F64" s="9" t="s">
        <v>16</v>
      </c>
      <c r="G64" s="9" t="s">
        <v>13</v>
      </c>
      <c r="H64" t="s">
        <v>238</v>
      </c>
    </row>
    <row r="65" spans="1:8" x14ac:dyDescent="0.25">
      <c r="A65" s="18">
        <v>46218</v>
      </c>
      <c r="B65" s="4" t="s">
        <v>3</v>
      </c>
      <c r="C65" s="23">
        <v>10</v>
      </c>
      <c r="E65" s="19" t="s">
        <v>10</v>
      </c>
      <c r="F65" s="9" t="s">
        <v>16</v>
      </c>
      <c r="G65" s="9" t="s">
        <v>13</v>
      </c>
      <c r="H65" t="s">
        <v>239</v>
      </c>
    </row>
    <row r="66" spans="1:8" x14ac:dyDescent="0.25">
      <c r="A66" s="18">
        <v>46218</v>
      </c>
      <c r="B66" s="4" t="s">
        <v>3</v>
      </c>
      <c r="C66" s="23">
        <v>10</v>
      </c>
      <c r="E66" s="19" t="s">
        <v>10</v>
      </c>
      <c r="F66" s="9" t="s">
        <v>11</v>
      </c>
      <c r="G66" s="7" t="s">
        <v>13</v>
      </c>
    </row>
    <row r="67" spans="1:8" x14ac:dyDescent="0.25">
      <c r="A67" s="18">
        <v>46218</v>
      </c>
      <c r="B67" s="4" t="s">
        <v>3</v>
      </c>
      <c r="C67" s="23">
        <v>10</v>
      </c>
      <c r="D67" s="2">
        <v>8</v>
      </c>
      <c r="E67" s="19" t="s">
        <v>10</v>
      </c>
      <c r="F67" s="9" t="s">
        <v>11</v>
      </c>
      <c r="G67" s="7" t="s">
        <v>13</v>
      </c>
    </row>
    <row r="68" spans="1:8" x14ac:dyDescent="0.25">
      <c r="A68" s="18">
        <v>46218</v>
      </c>
      <c r="B68" s="4" t="s">
        <v>6</v>
      </c>
      <c r="C68" s="23">
        <v>150</v>
      </c>
      <c r="D68" s="2">
        <v>8</v>
      </c>
      <c r="E68" t="s">
        <v>37</v>
      </c>
      <c r="F68" t="s">
        <v>11</v>
      </c>
      <c r="G68" s="9" t="s">
        <v>38</v>
      </c>
      <c r="H68" t="s">
        <v>212</v>
      </c>
    </row>
    <row r="69" spans="1:8" x14ac:dyDescent="0.25">
      <c r="A69" s="18">
        <v>46218</v>
      </c>
      <c r="B69" s="4" t="s">
        <v>8</v>
      </c>
      <c r="C69" s="23">
        <v>15</v>
      </c>
      <c r="D69" s="2">
        <v>8</v>
      </c>
      <c r="E69" s="19" t="s">
        <v>35</v>
      </c>
      <c r="F69" s="9" t="s">
        <v>11</v>
      </c>
      <c r="G69" s="32" t="s">
        <v>240</v>
      </c>
      <c r="H69" t="s">
        <v>241</v>
      </c>
    </row>
    <row r="70" spans="1:8" x14ac:dyDescent="0.25">
      <c r="A70" s="18">
        <v>46219</v>
      </c>
      <c r="B70" s="4" t="s">
        <v>3</v>
      </c>
      <c r="C70" s="23">
        <v>480</v>
      </c>
      <c r="D70" s="2">
        <v>8</v>
      </c>
      <c r="E70" s="19" t="s">
        <v>35</v>
      </c>
      <c r="F70" s="9" t="s">
        <v>11</v>
      </c>
      <c r="G70" s="32" t="s">
        <v>240</v>
      </c>
      <c r="H70" t="s">
        <v>242</v>
      </c>
    </row>
    <row r="71" spans="1:8" x14ac:dyDescent="0.25">
      <c r="A71" s="18">
        <v>46219</v>
      </c>
      <c r="B71" s="4" t="s">
        <v>6</v>
      </c>
      <c r="C71" s="23">
        <v>30</v>
      </c>
      <c r="D71" s="2">
        <v>8</v>
      </c>
      <c r="E71" s="19" t="s">
        <v>35</v>
      </c>
      <c r="F71" s="9" t="s">
        <v>11</v>
      </c>
      <c r="G71" s="32" t="s">
        <v>240</v>
      </c>
      <c r="H71" t="s">
        <v>243</v>
      </c>
    </row>
    <row r="72" spans="1:8" x14ac:dyDescent="0.25">
      <c r="A72" s="18">
        <v>46219</v>
      </c>
      <c r="B72" s="4" t="s">
        <v>8</v>
      </c>
      <c r="C72" s="23">
        <v>30</v>
      </c>
      <c r="D72" s="2">
        <v>8</v>
      </c>
      <c r="E72" s="19" t="s">
        <v>4</v>
      </c>
      <c r="F72" s="9" t="s">
        <v>244</v>
      </c>
      <c r="G72" s="32" t="s">
        <v>5</v>
      </c>
      <c r="H72" t="s">
        <v>245</v>
      </c>
    </row>
    <row r="73" spans="1:8" x14ac:dyDescent="0.25">
      <c r="A73" s="18">
        <v>46220</v>
      </c>
      <c r="B73" s="4" t="s">
        <v>3</v>
      </c>
      <c r="C73" s="23">
        <v>30</v>
      </c>
      <c r="E73" s="19" t="s">
        <v>33</v>
      </c>
      <c r="F73" s="9" t="s">
        <v>11</v>
      </c>
      <c r="G73" s="32" t="s">
        <v>34</v>
      </c>
    </row>
    <row r="74" spans="1:8" x14ac:dyDescent="0.25">
      <c r="A74" s="18">
        <v>46220</v>
      </c>
      <c r="B74" s="4" t="s">
        <v>3</v>
      </c>
      <c r="C74" s="23">
        <v>145</v>
      </c>
      <c r="D74" s="2">
        <v>8</v>
      </c>
      <c r="E74" t="s">
        <v>37</v>
      </c>
      <c r="F74" t="s">
        <v>11</v>
      </c>
      <c r="G74" s="9" t="s">
        <v>246</v>
      </c>
      <c r="H74" t="s">
        <v>247</v>
      </c>
    </row>
    <row r="75" spans="1:8" x14ac:dyDescent="0.25">
      <c r="A75" s="18">
        <v>46220</v>
      </c>
      <c r="B75" s="4" t="s">
        <v>6</v>
      </c>
      <c r="C75" s="23">
        <v>0</v>
      </c>
      <c r="D75" s="2">
        <v>8</v>
      </c>
      <c r="E75" s="19"/>
      <c r="F75" s="9"/>
      <c r="G75" s="32"/>
    </row>
    <row r="76" spans="1:8" x14ac:dyDescent="0.25">
      <c r="A76" s="18">
        <v>46220</v>
      </c>
      <c r="B76" s="4" t="s">
        <v>8</v>
      </c>
      <c r="C76" s="23">
        <v>0</v>
      </c>
      <c r="D76" s="2">
        <v>8</v>
      </c>
      <c r="E76" s="19"/>
      <c r="F76" s="9"/>
      <c r="G76" s="32"/>
    </row>
    <row r="77" spans="1:8" x14ac:dyDescent="0.25">
      <c r="A77" s="18">
        <v>46221</v>
      </c>
      <c r="B77" s="4" t="s">
        <v>3</v>
      </c>
      <c r="C77" s="23">
        <v>30</v>
      </c>
      <c r="E77" s="19" t="s">
        <v>10</v>
      </c>
      <c r="F77" s="9" t="s">
        <v>16</v>
      </c>
      <c r="G77" s="32" t="s">
        <v>13</v>
      </c>
      <c r="H77" t="s">
        <v>248</v>
      </c>
    </row>
    <row r="78" spans="1:8" x14ac:dyDescent="0.25">
      <c r="A78" s="18">
        <v>46221</v>
      </c>
      <c r="B78" s="4" t="s">
        <v>3</v>
      </c>
      <c r="C78" s="23">
        <v>15</v>
      </c>
      <c r="D78" s="2">
        <v>8</v>
      </c>
      <c r="E78" s="19" t="s">
        <v>10</v>
      </c>
      <c r="F78" s="9" t="s">
        <v>244</v>
      </c>
      <c r="G78" s="32" t="s">
        <v>18</v>
      </c>
      <c r="H78" t="s">
        <v>249</v>
      </c>
    </row>
    <row r="79" spans="1:8" x14ac:dyDescent="0.25">
      <c r="A79" s="18">
        <v>46221</v>
      </c>
      <c r="B79" s="4" t="s">
        <v>6</v>
      </c>
      <c r="C79" s="23">
        <v>0</v>
      </c>
      <c r="D79" s="2">
        <v>8</v>
      </c>
      <c r="E79" s="19"/>
      <c r="F79" s="9"/>
      <c r="G79" s="32"/>
    </row>
    <row r="80" spans="1:8" x14ac:dyDescent="0.25">
      <c r="A80" s="18">
        <v>46221</v>
      </c>
      <c r="B80" s="4" t="s">
        <v>8</v>
      </c>
      <c r="C80" s="23">
        <v>15</v>
      </c>
      <c r="D80" s="2">
        <v>8</v>
      </c>
      <c r="E80" s="19" t="s">
        <v>10</v>
      </c>
      <c r="F80" s="9" t="s">
        <v>16</v>
      </c>
      <c r="G80" s="32" t="s">
        <v>13</v>
      </c>
      <c r="H80" t="s">
        <v>250</v>
      </c>
    </row>
    <row r="81" spans="1:8" x14ac:dyDescent="0.25">
      <c r="A81" s="18">
        <v>46222</v>
      </c>
      <c r="B81" s="4" t="s">
        <v>6</v>
      </c>
      <c r="C81" s="23">
        <v>0</v>
      </c>
      <c r="D81" s="2">
        <v>8</v>
      </c>
      <c r="G81" s="9"/>
    </row>
    <row r="82" spans="1:8" x14ac:dyDescent="0.25">
      <c r="A82" s="18">
        <v>46223</v>
      </c>
      <c r="B82" s="4" t="s">
        <v>6</v>
      </c>
      <c r="C82" s="23">
        <v>210</v>
      </c>
      <c r="D82" s="2">
        <v>8</v>
      </c>
      <c r="E82" s="19" t="s">
        <v>35</v>
      </c>
      <c r="F82" s="9" t="s">
        <v>11</v>
      </c>
      <c r="G82" s="32" t="s">
        <v>251</v>
      </c>
    </row>
    <row r="83" spans="1:8" x14ac:dyDescent="0.25">
      <c r="A83" s="18">
        <v>46223</v>
      </c>
      <c r="B83" s="4" t="s">
        <v>8</v>
      </c>
      <c r="C83" s="23">
        <v>10</v>
      </c>
      <c r="D83" s="2">
        <v>8</v>
      </c>
      <c r="E83" s="19" t="s">
        <v>10</v>
      </c>
      <c r="F83" s="9" t="s">
        <v>11</v>
      </c>
      <c r="G83" s="32" t="s">
        <v>13</v>
      </c>
    </row>
    <row r="84" spans="1:8" x14ac:dyDescent="0.25">
      <c r="A84" s="18">
        <v>46223</v>
      </c>
      <c r="B84" s="4" t="s">
        <v>3</v>
      </c>
      <c r="C84" s="23">
        <v>10</v>
      </c>
      <c r="E84" s="19" t="s">
        <v>10</v>
      </c>
      <c r="F84" s="9" t="s">
        <v>11</v>
      </c>
      <c r="G84" s="32" t="s">
        <v>13</v>
      </c>
    </row>
    <row r="85" spans="1:8" x14ac:dyDescent="0.25">
      <c r="A85" s="18">
        <v>46223</v>
      </c>
      <c r="B85" s="4" t="s">
        <v>3</v>
      </c>
      <c r="C85" s="23">
        <v>10</v>
      </c>
      <c r="E85" s="19" t="s">
        <v>10</v>
      </c>
      <c r="F85" s="9" t="s">
        <v>11</v>
      </c>
      <c r="G85" s="32" t="s">
        <v>13</v>
      </c>
    </row>
    <row r="86" spans="1:8" x14ac:dyDescent="0.25">
      <c r="A86" s="18">
        <v>46223</v>
      </c>
      <c r="B86" s="4" t="s">
        <v>3</v>
      </c>
      <c r="C86" s="23">
        <v>10</v>
      </c>
      <c r="D86" s="2">
        <v>8</v>
      </c>
      <c r="E86" s="19" t="s">
        <v>10</v>
      </c>
      <c r="F86" s="9" t="s">
        <v>11</v>
      </c>
      <c r="G86" s="32" t="s">
        <v>13</v>
      </c>
    </row>
    <row r="87" spans="1:8" x14ac:dyDescent="0.25">
      <c r="A87" s="18">
        <v>46224</v>
      </c>
      <c r="B87" s="4" t="s">
        <v>6</v>
      </c>
      <c r="C87" s="23">
        <v>30</v>
      </c>
      <c r="E87" s="19" t="s">
        <v>10</v>
      </c>
      <c r="F87" s="9" t="s">
        <v>11</v>
      </c>
      <c r="G87" s="32" t="s">
        <v>13</v>
      </c>
      <c r="H87" t="s">
        <v>252</v>
      </c>
    </row>
    <row r="88" spans="1:8" x14ac:dyDescent="0.25">
      <c r="A88" s="18">
        <v>46224</v>
      </c>
      <c r="B88" s="4" t="s">
        <v>6</v>
      </c>
      <c r="C88" s="23">
        <v>10</v>
      </c>
      <c r="E88" s="19" t="s">
        <v>10</v>
      </c>
      <c r="F88" s="9" t="s">
        <v>24</v>
      </c>
      <c r="G88" s="32" t="s">
        <v>25</v>
      </c>
    </row>
    <row r="89" spans="1:8" x14ac:dyDescent="0.25">
      <c r="A89" s="18">
        <v>46224</v>
      </c>
      <c r="B89" s="4" t="s">
        <v>6</v>
      </c>
      <c r="C89" s="23">
        <v>20</v>
      </c>
      <c r="D89" s="2">
        <v>8</v>
      </c>
      <c r="E89" s="19" t="s">
        <v>4</v>
      </c>
      <c r="F89" s="9" t="s">
        <v>31</v>
      </c>
      <c r="G89" s="32" t="s">
        <v>7</v>
      </c>
      <c r="H89" t="s">
        <v>253</v>
      </c>
    </row>
    <row r="90" spans="1:8" x14ac:dyDescent="0.25">
      <c r="A90" s="18">
        <v>46224</v>
      </c>
      <c r="B90" s="4" t="s">
        <v>8</v>
      </c>
      <c r="C90" s="23">
        <v>10</v>
      </c>
      <c r="E90" s="19" t="s">
        <v>10</v>
      </c>
      <c r="F90" s="9" t="s">
        <v>11</v>
      </c>
      <c r="G90" s="32" t="s">
        <v>13</v>
      </c>
    </row>
    <row r="91" spans="1:8" x14ac:dyDescent="0.25">
      <c r="A91" s="18">
        <v>46224</v>
      </c>
      <c r="B91" s="4" t="s">
        <v>8</v>
      </c>
      <c r="C91" s="23">
        <v>10</v>
      </c>
      <c r="D91" s="2">
        <v>8</v>
      </c>
      <c r="E91" s="19" t="s">
        <v>10</v>
      </c>
      <c r="F91" s="9" t="s">
        <v>11</v>
      </c>
      <c r="G91" s="32" t="s">
        <v>13</v>
      </c>
    </row>
    <row r="92" spans="1:8" x14ac:dyDescent="0.25">
      <c r="A92" s="18">
        <v>46224</v>
      </c>
      <c r="B92" s="4" t="s">
        <v>3</v>
      </c>
      <c r="C92" s="23">
        <v>20</v>
      </c>
      <c r="D92" s="2">
        <v>8</v>
      </c>
      <c r="E92" s="19" t="s">
        <v>10</v>
      </c>
      <c r="F92" s="9" t="s">
        <v>11</v>
      </c>
      <c r="G92" s="32" t="s">
        <v>254</v>
      </c>
    </row>
    <row r="93" spans="1:8" x14ac:dyDescent="0.25">
      <c r="A93" s="18">
        <v>46225</v>
      </c>
      <c r="B93" s="4" t="s">
        <v>6</v>
      </c>
      <c r="C93" s="23">
        <f>7*60+20</f>
        <v>440</v>
      </c>
      <c r="D93" s="2">
        <v>8</v>
      </c>
      <c r="E93" s="19" t="s">
        <v>37</v>
      </c>
      <c r="F93" s="9" t="s">
        <v>11</v>
      </c>
      <c r="G93" s="32" t="s">
        <v>62</v>
      </c>
      <c r="H93" t="s">
        <v>255</v>
      </c>
    </row>
    <row r="94" spans="1:8" x14ac:dyDescent="0.25">
      <c r="A94" s="18">
        <v>46225</v>
      </c>
      <c r="B94" s="4" t="s">
        <v>3</v>
      </c>
      <c r="C94" s="23">
        <v>0</v>
      </c>
      <c r="D94" s="2">
        <v>8</v>
      </c>
      <c r="E94" s="19"/>
      <c r="F94" s="9"/>
    </row>
    <row r="95" spans="1:8" x14ac:dyDescent="0.25">
      <c r="A95" s="18">
        <v>46225</v>
      </c>
      <c r="B95" s="4" t="s">
        <v>8</v>
      </c>
      <c r="C95" s="23">
        <v>10</v>
      </c>
      <c r="D95" s="2">
        <v>8</v>
      </c>
      <c r="E95" s="19" t="s">
        <v>10</v>
      </c>
      <c r="F95" s="9" t="s">
        <v>28</v>
      </c>
      <c r="G95" s="9" t="s">
        <v>18</v>
      </c>
      <c r="H95" t="s">
        <v>256</v>
      </c>
    </row>
    <row r="96" spans="1:8" x14ac:dyDescent="0.25">
      <c r="A96" s="18">
        <v>46226</v>
      </c>
      <c r="B96" s="4" t="s">
        <v>6</v>
      </c>
      <c r="C96" s="23">
        <v>20</v>
      </c>
      <c r="D96" s="2">
        <v>8</v>
      </c>
      <c r="E96" s="19" t="s">
        <v>10</v>
      </c>
      <c r="F96" s="9" t="s">
        <v>28</v>
      </c>
      <c r="G96" s="32" t="s">
        <v>18</v>
      </c>
      <c r="H96" t="s">
        <v>236</v>
      </c>
    </row>
    <row r="97" spans="1:8" x14ac:dyDescent="0.25">
      <c r="A97" s="18">
        <v>46226</v>
      </c>
      <c r="B97" s="4" t="s">
        <v>8</v>
      </c>
      <c r="C97" s="23">
        <v>0</v>
      </c>
      <c r="D97" s="2">
        <v>8</v>
      </c>
      <c r="E97" s="19"/>
      <c r="F97" s="9"/>
    </row>
    <row r="98" spans="1:8" x14ac:dyDescent="0.25">
      <c r="A98" s="18">
        <v>46226</v>
      </c>
      <c r="B98" s="4" t="s">
        <v>3</v>
      </c>
      <c r="C98" s="23">
        <v>0</v>
      </c>
      <c r="D98" s="2">
        <v>8</v>
      </c>
      <c r="E98" s="19"/>
      <c r="F98" s="9"/>
    </row>
    <row r="99" spans="1:8" x14ac:dyDescent="0.25">
      <c r="A99" s="18">
        <v>46227</v>
      </c>
      <c r="B99" s="4" t="s">
        <v>6</v>
      </c>
      <c r="C99" s="23">
        <v>20</v>
      </c>
      <c r="E99" s="19" t="s">
        <v>10</v>
      </c>
      <c r="F99" s="9" t="s">
        <v>19</v>
      </c>
      <c r="G99" t="s">
        <v>18</v>
      </c>
    </row>
    <row r="100" spans="1:8" x14ac:dyDescent="0.25">
      <c r="A100" s="18">
        <v>46227</v>
      </c>
      <c r="B100" s="4" t="s">
        <v>6</v>
      </c>
      <c r="C100" s="23">
        <v>5</v>
      </c>
      <c r="D100" s="2">
        <v>8</v>
      </c>
      <c r="E100" s="19" t="s">
        <v>10</v>
      </c>
      <c r="F100" s="9" t="s">
        <v>11</v>
      </c>
      <c r="G100" s="7" t="s">
        <v>13</v>
      </c>
    </row>
    <row r="101" spans="1:8" x14ac:dyDescent="0.25">
      <c r="A101" s="18">
        <v>46227</v>
      </c>
      <c r="B101" s="4" t="s">
        <v>8</v>
      </c>
      <c r="C101" s="23">
        <v>20</v>
      </c>
      <c r="D101" s="2">
        <v>8</v>
      </c>
      <c r="E101" t="s">
        <v>37</v>
      </c>
      <c r="F101" t="s">
        <v>11</v>
      </c>
      <c r="G101" s="9" t="s">
        <v>38</v>
      </c>
      <c r="H101" t="s">
        <v>257</v>
      </c>
    </row>
    <row r="102" spans="1:8" x14ac:dyDescent="0.25">
      <c r="A102" s="18">
        <v>46227</v>
      </c>
      <c r="B102" s="4" t="s">
        <v>3</v>
      </c>
      <c r="C102" s="23">
        <v>10</v>
      </c>
      <c r="E102" s="19" t="s">
        <v>10</v>
      </c>
      <c r="F102" s="9" t="s">
        <v>16</v>
      </c>
      <c r="G102" t="s">
        <v>13</v>
      </c>
      <c r="H102" t="s">
        <v>258</v>
      </c>
    </row>
    <row r="103" spans="1:8" x14ac:dyDescent="0.25">
      <c r="A103" s="18">
        <v>46227</v>
      </c>
      <c r="B103" s="4" t="s">
        <v>3</v>
      </c>
      <c r="C103" s="23">
        <v>10</v>
      </c>
      <c r="D103" s="2">
        <v>8</v>
      </c>
      <c r="E103" s="19" t="s">
        <v>10</v>
      </c>
      <c r="F103" s="9" t="s">
        <v>16</v>
      </c>
      <c r="G103" t="s">
        <v>13</v>
      </c>
      <c r="H103" t="s">
        <v>259</v>
      </c>
    </row>
    <row r="104" spans="1:8" x14ac:dyDescent="0.25">
      <c r="A104" s="18">
        <v>46228</v>
      </c>
      <c r="B104" s="4" t="s">
        <v>6</v>
      </c>
      <c r="C104" s="23">
        <v>0</v>
      </c>
      <c r="D104" s="2">
        <v>8</v>
      </c>
      <c r="E104" s="19"/>
      <c r="F104" s="9"/>
    </row>
    <row r="105" spans="1:8" x14ac:dyDescent="0.25">
      <c r="A105" s="18">
        <v>46228</v>
      </c>
      <c r="B105" s="4" t="s">
        <v>8</v>
      </c>
      <c r="C105" s="23">
        <v>30</v>
      </c>
      <c r="D105" s="2">
        <v>8</v>
      </c>
      <c r="E105" s="19" t="s">
        <v>4</v>
      </c>
      <c r="F105" s="9" t="s">
        <v>31</v>
      </c>
      <c r="G105" t="s">
        <v>5</v>
      </c>
      <c r="H105" t="s">
        <v>260</v>
      </c>
    </row>
    <row r="106" spans="1:8" x14ac:dyDescent="0.25">
      <c r="A106" s="18">
        <v>46228</v>
      </c>
      <c r="B106" s="4" t="s">
        <v>3</v>
      </c>
      <c r="C106" s="23">
        <v>10</v>
      </c>
      <c r="E106" s="19" t="s">
        <v>10</v>
      </c>
      <c r="F106" s="9" t="s">
        <v>28</v>
      </c>
      <c r="G106" t="s">
        <v>18</v>
      </c>
      <c r="H106" t="s">
        <v>236</v>
      </c>
    </row>
    <row r="107" spans="1:8" x14ac:dyDescent="0.25">
      <c r="A107" s="18">
        <v>46228</v>
      </c>
      <c r="B107" s="4" t="s">
        <v>3</v>
      </c>
      <c r="C107" s="23">
        <v>5</v>
      </c>
      <c r="D107" s="2">
        <v>8</v>
      </c>
      <c r="E107" s="19" t="s">
        <v>10</v>
      </c>
      <c r="F107" s="9" t="s">
        <v>11</v>
      </c>
      <c r="G107" t="s">
        <v>13</v>
      </c>
    </row>
    <row r="108" spans="1:8" x14ac:dyDescent="0.25">
      <c r="A108" s="18">
        <v>46229</v>
      </c>
      <c r="B108" s="4" t="s">
        <v>6</v>
      </c>
      <c r="C108" s="23">
        <v>5</v>
      </c>
      <c r="E108" s="19" t="s">
        <v>10</v>
      </c>
      <c r="F108" s="9" t="s">
        <v>11</v>
      </c>
      <c r="G108" t="s">
        <v>13</v>
      </c>
    </row>
    <row r="109" spans="1:8" x14ac:dyDescent="0.25">
      <c r="A109" s="18">
        <v>46229</v>
      </c>
      <c r="B109" s="4" t="s">
        <v>6</v>
      </c>
      <c r="C109" s="23">
        <v>10</v>
      </c>
      <c r="E109" s="19" t="s">
        <v>10</v>
      </c>
      <c r="F109" s="9" t="s">
        <v>11</v>
      </c>
      <c r="G109" t="s">
        <v>13</v>
      </c>
      <c r="H109" t="s">
        <v>261</v>
      </c>
    </row>
    <row r="110" spans="1:8" x14ac:dyDescent="0.25">
      <c r="A110" s="18">
        <v>46229</v>
      </c>
      <c r="B110" s="4" t="s">
        <v>6</v>
      </c>
      <c r="C110" s="23">
        <v>5</v>
      </c>
      <c r="D110" s="2">
        <v>8</v>
      </c>
      <c r="E110" s="19" t="s">
        <v>10</v>
      </c>
      <c r="F110" s="9" t="s">
        <v>11</v>
      </c>
      <c r="G110" t="s">
        <v>13</v>
      </c>
    </row>
    <row r="111" spans="1:8" x14ac:dyDescent="0.25">
      <c r="A111" s="18">
        <v>46229</v>
      </c>
      <c r="B111" s="4" t="s">
        <v>3</v>
      </c>
      <c r="C111" s="23">
        <v>35</v>
      </c>
      <c r="D111" s="2">
        <v>8</v>
      </c>
      <c r="E111" s="19" t="s">
        <v>4</v>
      </c>
      <c r="F111" s="9" t="s">
        <v>31</v>
      </c>
      <c r="G111" t="s">
        <v>5</v>
      </c>
      <c r="H111" t="s">
        <v>262</v>
      </c>
    </row>
    <row r="112" spans="1:8" x14ac:dyDescent="0.25">
      <c r="A112" s="18">
        <v>46230</v>
      </c>
      <c r="B112" s="4" t="s">
        <v>8</v>
      </c>
      <c r="C112" s="23">
        <v>0</v>
      </c>
      <c r="D112" s="2">
        <v>8</v>
      </c>
      <c r="E112" s="19"/>
      <c r="F112" s="9"/>
    </row>
    <row r="113" spans="1:8" x14ac:dyDescent="0.25">
      <c r="A113" s="18">
        <v>46230</v>
      </c>
      <c r="B113" s="4" t="s">
        <v>3</v>
      </c>
      <c r="C113" s="23">
        <v>90</v>
      </c>
      <c r="D113" s="2">
        <v>8</v>
      </c>
      <c r="E113" s="19" t="s">
        <v>4</v>
      </c>
      <c r="F113" s="9" t="s">
        <v>29</v>
      </c>
      <c r="G113" t="s">
        <v>5</v>
      </c>
      <c r="H113" t="s">
        <v>263</v>
      </c>
    </row>
    <row r="114" spans="1:8" x14ac:dyDescent="0.25">
      <c r="A114" s="18">
        <v>46230</v>
      </c>
      <c r="B114" s="4" t="s">
        <v>6</v>
      </c>
      <c r="C114" s="23">
        <v>25</v>
      </c>
      <c r="E114" s="19" t="s">
        <v>4</v>
      </c>
      <c r="F114" s="9" t="s">
        <v>29</v>
      </c>
      <c r="G114" t="s">
        <v>5</v>
      </c>
      <c r="H114" t="s">
        <v>264</v>
      </c>
    </row>
    <row r="115" spans="1:8" x14ac:dyDescent="0.25">
      <c r="A115" s="18">
        <v>46230</v>
      </c>
      <c r="B115" s="4" t="s">
        <v>6</v>
      </c>
      <c r="C115" s="23">
        <v>15</v>
      </c>
      <c r="D115" s="2">
        <v>8</v>
      </c>
      <c r="E115" s="19" t="s">
        <v>10</v>
      </c>
      <c r="F115" s="9" t="s">
        <v>16</v>
      </c>
      <c r="G115" t="s">
        <v>13</v>
      </c>
      <c r="H115" t="s">
        <v>265</v>
      </c>
    </row>
    <row r="116" spans="1:8" x14ac:dyDescent="0.25">
      <c r="A116" s="18">
        <v>46231</v>
      </c>
      <c r="B116" s="4" t="s">
        <v>8</v>
      </c>
      <c r="C116" s="23">
        <v>30</v>
      </c>
      <c r="E116" s="19" t="s">
        <v>10</v>
      </c>
      <c r="F116" s="9" t="s">
        <v>11</v>
      </c>
      <c r="G116" t="s">
        <v>13</v>
      </c>
      <c r="H116" t="s">
        <v>252</v>
      </c>
    </row>
    <row r="117" spans="1:8" x14ac:dyDescent="0.25">
      <c r="A117" s="18">
        <v>46231</v>
      </c>
      <c r="B117" s="4" t="s">
        <v>8</v>
      </c>
      <c r="C117" s="23">
        <v>30</v>
      </c>
      <c r="E117" s="19" t="s">
        <v>33</v>
      </c>
      <c r="F117" s="9" t="s">
        <v>11</v>
      </c>
      <c r="G117" t="s">
        <v>34</v>
      </c>
    </row>
    <row r="118" spans="1:8" x14ac:dyDescent="0.25">
      <c r="A118" s="18">
        <v>46231</v>
      </c>
      <c r="B118" s="4" t="s">
        <v>8</v>
      </c>
      <c r="C118" s="23">
        <v>120</v>
      </c>
      <c r="D118" s="2">
        <v>8</v>
      </c>
      <c r="E118" s="19" t="s">
        <v>4</v>
      </c>
      <c r="F118" s="9" t="s">
        <v>21</v>
      </c>
      <c r="G118" t="s">
        <v>5</v>
      </c>
      <c r="H118" t="s">
        <v>266</v>
      </c>
    </row>
    <row r="119" spans="1:8" x14ac:dyDescent="0.25">
      <c r="A119" s="18">
        <v>46231</v>
      </c>
      <c r="B119" s="4" t="s">
        <v>3</v>
      </c>
      <c r="C119" s="23">
        <v>15</v>
      </c>
      <c r="D119" s="2">
        <v>8</v>
      </c>
      <c r="E119" s="19" t="s">
        <v>10</v>
      </c>
      <c r="F119" s="9" t="s">
        <v>16</v>
      </c>
      <c r="G119" t="s">
        <v>13</v>
      </c>
      <c r="H119" t="s">
        <v>267</v>
      </c>
    </row>
    <row r="120" spans="1:8" x14ac:dyDescent="0.25">
      <c r="A120" s="18">
        <v>46231</v>
      </c>
      <c r="B120" s="4" t="s">
        <v>6</v>
      </c>
      <c r="C120" s="23">
        <v>20</v>
      </c>
      <c r="D120" s="2">
        <v>8</v>
      </c>
      <c r="E120" s="19" t="s">
        <v>10</v>
      </c>
      <c r="F120" s="9" t="s">
        <v>28</v>
      </c>
      <c r="G120" t="s">
        <v>18</v>
      </c>
      <c r="H120" t="s">
        <v>268</v>
      </c>
    </row>
    <row r="121" spans="1:8" x14ac:dyDescent="0.25">
      <c r="A121" s="18">
        <v>46232</v>
      </c>
      <c r="B121" s="4" t="s">
        <v>8</v>
      </c>
      <c r="C121" s="23">
        <v>30</v>
      </c>
      <c r="E121" s="19" t="s">
        <v>33</v>
      </c>
      <c r="F121" s="9" t="s">
        <v>11</v>
      </c>
      <c r="G121" t="s">
        <v>34</v>
      </c>
    </row>
    <row r="122" spans="1:8" x14ac:dyDescent="0.25">
      <c r="A122" s="18">
        <v>46232</v>
      </c>
      <c r="B122" s="4" t="s">
        <v>8</v>
      </c>
      <c r="C122" s="23">
        <v>15</v>
      </c>
      <c r="E122" s="19" t="s">
        <v>10</v>
      </c>
      <c r="F122" s="9" t="s">
        <v>16</v>
      </c>
      <c r="G122" t="s">
        <v>13</v>
      </c>
    </row>
    <row r="123" spans="1:8" x14ac:dyDescent="0.25">
      <c r="A123" s="18">
        <v>46232</v>
      </c>
      <c r="B123" s="4" t="s">
        <v>8</v>
      </c>
      <c r="C123" s="23">
        <v>20</v>
      </c>
      <c r="D123" s="2">
        <v>8</v>
      </c>
      <c r="E123" s="19" t="s">
        <v>10</v>
      </c>
      <c r="F123" s="9" t="s">
        <v>11</v>
      </c>
      <c r="G123" t="s">
        <v>13</v>
      </c>
    </row>
    <row r="124" spans="1:8" x14ac:dyDescent="0.25">
      <c r="A124" s="18">
        <v>46232</v>
      </c>
      <c r="B124" s="4" t="s">
        <v>3</v>
      </c>
      <c r="C124" s="23">
        <v>0</v>
      </c>
      <c r="D124" s="2">
        <v>8</v>
      </c>
      <c r="E124" s="19"/>
      <c r="F124" s="9"/>
    </row>
    <row r="125" spans="1:8" x14ac:dyDescent="0.25">
      <c r="A125" s="18">
        <v>46232</v>
      </c>
      <c r="B125" s="4" t="s">
        <v>6</v>
      </c>
      <c r="C125" s="23">
        <v>80</v>
      </c>
      <c r="D125" s="2">
        <v>8</v>
      </c>
      <c r="E125" s="19" t="s">
        <v>4</v>
      </c>
      <c r="F125" s="9" t="s">
        <v>29</v>
      </c>
      <c r="G125" t="s">
        <v>5</v>
      </c>
      <c r="H125" t="s">
        <v>269</v>
      </c>
    </row>
    <row r="126" spans="1:8" x14ac:dyDescent="0.25">
      <c r="A126" s="18">
        <v>46233</v>
      </c>
      <c r="B126" s="4" t="s">
        <v>8</v>
      </c>
      <c r="C126" s="23">
        <v>10</v>
      </c>
      <c r="E126" s="19" t="s">
        <v>10</v>
      </c>
      <c r="F126" s="9" t="s">
        <v>11</v>
      </c>
      <c r="G126" t="s">
        <v>13</v>
      </c>
    </row>
    <row r="127" spans="1:8" x14ac:dyDescent="0.25">
      <c r="A127" s="18">
        <v>46233</v>
      </c>
      <c r="B127" s="4" t="s">
        <v>8</v>
      </c>
      <c r="C127" s="23">
        <v>10</v>
      </c>
      <c r="D127" s="2">
        <v>8</v>
      </c>
      <c r="E127" s="19" t="s">
        <v>10</v>
      </c>
      <c r="F127" s="9" t="s">
        <v>11</v>
      </c>
      <c r="G127" t="s">
        <v>13</v>
      </c>
    </row>
    <row r="128" spans="1:8" x14ac:dyDescent="0.25">
      <c r="A128" s="18">
        <v>46233</v>
      </c>
      <c r="B128" s="4" t="s">
        <v>3</v>
      </c>
      <c r="C128" s="23">
        <v>10</v>
      </c>
      <c r="E128" s="19" t="s">
        <v>10</v>
      </c>
      <c r="F128" s="9" t="s">
        <v>11</v>
      </c>
      <c r="G128" t="s">
        <v>13</v>
      </c>
    </row>
    <row r="129" spans="1:8" x14ac:dyDescent="0.25">
      <c r="A129" s="18">
        <v>46233</v>
      </c>
      <c r="B129" s="4" t="s">
        <v>3</v>
      </c>
      <c r="C129" s="23">
        <v>5</v>
      </c>
      <c r="E129" s="19" t="s">
        <v>10</v>
      </c>
      <c r="F129" s="9" t="s">
        <v>11</v>
      </c>
      <c r="G129" t="s">
        <v>13</v>
      </c>
    </row>
    <row r="130" spans="1:8" x14ac:dyDescent="0.25">
      <c r="A130" s="18">
        <v>46233</v>
      </c>
      <c r="B130" s="4" t="s">
        <v>3</v>
      </c>
      <c r="C130" s="23">
        <v>10</v>
      </c>
      <c r="D130" s="2">
        <v>8</v>
      </c>
      <c r="E130" s="19" t="s">
        <v>10</v>
      </c>
      <c r="F130" s="9" t="s">
        <v>11</v>
      </c>
      <c r="G130" t="s">
        <v>13</v>
      </c>
    </row>
    <row r="131" spans="1:8" x14ac:dyDescent="0.25">
      <c r="A131" s="18">
        <v>46233</v>
      </c>
      <c r="B131" s="4" t="s">
        <v>6</v>
      </c>
      <c r="C131" s="23">
        <v>0</v>
      </c>
      <c r="D131" s="2">
        <v>8</v>
      </c>
      <c r="E131" s="19"/>
      <c r="F131" s="9"/>
      <c r="G131" s="9"/>
    </row>
    <row r="132" spans="1:8" x14ac:dyDescent="0.25">
      <c r="A132" s="18">
        <v>46234</v>
      </c>
      <c r="B132" s="4" t="s">
        <v>8</v>
      </c>
      <c r="C132" s="23">
        <v>10</v>
      </c>
      <c r="E132" s="19" t="s">
        <v>10</v>
      </c>
      <c r="F132" s="9" t="s">
        <v>16</v>
      </c>
      <c r="G132" t="s">
        <v>13</v>
      </c>
      <c r="H132" t="s">
        <v>270</v>
      </c>
    </row>
    <row r="133" spans="1:8" x14ac:dyDescent="0.25">
      <c r="A133" s="18">
        <v>46234</v>
      </c>
      <c r="B133" s="4" t="s">
        <v>8</v>
      </c>
      <c r="C133" s="23">
        <v>40</v>
      </c>
      <c r="D133" s="2">
        <v>8</v>
      </c>
      <c r="E133" s="19" t="s">
        <v>10</v>
      </c>
      <c r="F133" s="9" t="s">
        <v>28</v>
      </c>
      <c r="G133" t="s">
        <v>18</v>
      </c>
      <c r="H133" t="s">
        <v>271</v>
      </c>
    </row>
    <row r="134" spans="1:8" x14ac:dyDescent="0.25">
      <c r="A134" s="18">
        <v>46234</v>
      </c>
      <c r="B134" s="4" t="s">
        <v>3</v>
      </c>
      <c r="C134" s="23">
        <v>10</v>
      </c>
      <c r="D134" s="2">
        <v>8</v>
      </c>
      <c r="E134" s="19" t="s">
        <v>10</v>
      </c>
      <c r="F134" s="9" t="s">
        <v>24</v>
      </c>
      <c r="G134" t="s">
        <v>25</v>
      </c>
    </row>
    <row r="135" spans="1:8" x14ac:dyDescent="0.25">
      <c r="A135" s="18">
        <v>46234</v>
      </c>
      <c r="B135" s="4" t="s">
        <v>6</v>
      </c>
      <c r="C135" s="23">
        <v>10</v>
      </c>
      <c r="E135" s="19" t="s">
        <v>10</v>
      </c>
      <c r="F135" s="9" t="s">
        <v>11</v>
      </c>
      <c r="G135" t="s">
        <v>13</v>
      </c>
    </row>
    <row r="136" spans="1:8" x14ac:dyDescent="0.25">
      <c r="A136" s="18">
        <v>46234</v>
      </c>
      <c r="B136" s="4" t="s">
        <v>6</v>
      </c>
      <c r="C136" s="23">
        <v>10</v>
      </c>
      <c r="D136" s="2">
        <v>8</v>
      </c>
      <c r="E136" s="19" t="s">
        <v>10</v>
      </c>
      <c r="F136" s="9" t="s">
        <v>24</v>
      </c>
      <c r="G136" t="s">
        <v>18</v>
      </c>
      <c r="H136" t="s">
        <v>272</v>
      </c>
    </row>
    <row r="137" spans="1:8" x14ac:dyDescent="0.25">
      <c r="A137" s="18"/>
      <c r="B137" s="4"/>
      <c r="C137" s="23"/>
      <c r="E137" s="19"/>
      <c r="F137" s="9"/>
    </row>
    <row r="138" spans="1:8" x14ac:dyDescent="0.25">
      <c r="A138" s="18"/>
      <c r="B138" s="4"/>
      <c r="C138" s="23"/>
      <c r="E138" s="19"/>
      <c r="F138" s="9"/>
    </row>
    <row r="139" spans="1:8" x14ac:dyDescent="0.25">
      <c r="A139" s="18"/>
      <c r="B139" s="4"/>
      <c r="C139" s="23"/>
    </row>
    <row r="140" spans="1:8" x14ac:dyDescent="0.25">
      <c r="A140" s="18"/>
      <c r="B140" s="4"/>
      <c r="C140" s="23"/>
    </row>
    <row r="141" spans="1:8" x14ac:dyDescent="0.25">
      <c r="A141" s="18"/>
      <c r="B141" s="4"/>
      <c r="C141" s="23"/>
    </row>
    <row r="142" spans="1:8" x14ac:dyDescent="0.25">
      <c r="A142" s="18"/>
      <c r="B142" s="4"/>
      <c r="C142" s="23"/>
    </row>
    <row r="143" spans="1:8" x14ac:dyDescent="0.25">
      <c r="A143" s="18"/>
      <c r="B143" s="4"/>
      <c r="C143" s="23"/>
    </row>
    <row r="144" spans="1:8" x14ac:dyDescent="0.25">
      <c r="A144" s="18"/>
      <c r="B144" s="4"/>
      <c r="C144" s="23"/>
    </row>
    <row r="145" spans="1:3" x14ac:dyDescent="0.25">
      <c r="A145" s="18"/>
      <c r="B145" s="4"/>
      <c r="C145" s="23"/>
    </row>
    <row r="146" spans="1:3" x14ac:dyDescent="0.25">
      <c r="A146" s="18"/>
      <c r="B146" s="4"/>
      <c r="C146" s="23"/>
    </row>
    <row r="147" spans="1:3" x14ac:dyDescent="0.25">
      <c r="A147" s="18"/>
      <c r="B147" s="4"/>
      <c r="C147" s="23"/>
    </row>
    <row r="148" spans="1:3" x14ac:dyDescent="0.25">
      <c r="A148" s="18"/>
      <c r="B148" s="4"/>
      <c r="C148" s="23"/>
    </row>
    <row r="149" spans="1:3" x14ac:dyDescent="0.25">
      <c r="A149" s="18"/>
      <c r="B149" s="4"/>
      <c r="C149" s="23"/>
    </row>
    <row r="150" spans="1:3" x14ac:dyDescent="0.25">
      <c r="A150" s="18"/>
      <c r="B150" s="4"/>
      <c r="C150" s="23"/>
    </row>
    <row r="151" spans="1:3" x14ac:dyDescent="0.25">
      <c r="A151" s="18"/>
      <c r="B151" s="4"/>
      <c r="C151" s="23"/>
    </row>
    <row r="152" spans="1:3" x14ac:dyDescent="0.25">
      <c r="A152" s="18"/>
      <c r="B152" s="4"/>
      <c r="C152" s="23"/>
    </row>
    <row r="153" spans="1:3" x14ac:dyDescent="0.25">
      <c r="A153" s="18"/>
      <c r="B153" s="4"/>
      <c r="C153" s="23"/>
    </row>
    <row r="154" spans="1:3" x14ac:dyDescent="0.25">
      <c r="A154" s="18"/>
      <c r="B154" s="4"/>
      <c r="C154" s="23"/>
    </row>
    <row r="155" spans="1:3" x14ac:dyDescent="0.25">
      <c r="A155" s="18"/>
      <c r="B155" s="4"/>
      <c r="C155" s="23"/>
    </row>
    <row r="156" spans="1:3" x14ac:dyDescent="0.25">
      <c r="A156" s="18"/>
      <c r="B156" s="4"/>
      <c r="C156" s="23"/>
    </row>
    <row r="157" spans="1:3" x14ac:dyDescent="0.25">
      <c r="A157" s="18"/>
      <c r="B157" s="4"/>
      <c r="C157" s="23"/>
    </row>
    <row r="158" spans="1:3" x14ac:dyDescent="0.25">
      <c r="A158" s="18"/>
      <c r="B158" s="4"/>
      <c r="C158" s="23"/>
    </row>
    <row r="159" spans="1:3" x14ac:dyDescent="0.25">
      <c r="A159" s="18"/>
      <c r="B159" s="4"/>
      <c r="C159" s="23"/>
    </row>
    <row r="160" spans="1:3" x14ac:dyDescent="0.25">
      <c r="A160" s="18"/>
      <c r="B160" s="4"/>
      <c r="C160" s="23"/>
    </row>
    <row r="161" spans="1:7" x14ac:dyDescent="0.25">
      <c r="A161" s="18"/>
      <c r="B161" s="4"/>
      <c r="C161" s="23"/>
    </row>
    <row r="162" spans="1:7" x14ac:dyDescent="0.25">
      <c r="A162" s="18"/>
      <c r="B162" s="4"/>
      <c r="C162" s="23"/>
    </row>
    <row r="163" spans="1:7" x14ac:dyDescent="0.25">
      <c r="A163" s="18"/>
      <c r="B163" s="4"/>
      <c r="C163" s="23"/>
    </row>
    <row r="164" spans="1:7" x14ac:dyDescent="0.25">
      <c r="A164" s="18"/>
      <c r="B164" s="4"/>
      <c r="C164" s="23"/>
    </row>
    <row r="165" spans="1:7" x14ac:dyDescent="0.25">
      <c r="A165" s="18"/>
      <c r="B165" s="4"/>
      <c r="C165" s="23"/>
      <c r="E165" s="19"/>
      <c r="F165" s="9"/>
      <c r="G165" s="32"/>
    </row>
    <row r="166" spans="1:7" x14ac:dyDescent="0.25">
      <c r="A166" s="18"/>
      <c r="B166" s="4"/>
      <c r="C166" s="23"/>
    </row>
    <row r="167" spans="1:7" x14ac:dyDescent="0.25">
      <c r="A167" s="18"/>
      <c r="B167" s="4"/>
      <c r="C167" s="23"/>
    </row>
    <row r="168" spans="1:7" x14ac:dyDescent="0.25">
      <c r="A168" s="18"/>
      <c r="B168" s="4"/>
      <c r="C168" s="23"/>
    </row>
    <row r="169" spans="1:7" x14ac:dyDescent="0.25">
      <c r="A169" s="18"/>
      <c r="B169" s="4"/>
      <c r="C169" s="23"/>
    </row>
    <row r="170" spans="1:7" x14ac:dyDescent="0.25">
      <c r="A170" s="18"/>
      <c r="B170" s="4"/>
      <c r="C170" s="23"/>
    </row>
    <row r="171" spans="1:7" x14ac:dyDescent="0.25">
      <c r="A171" s="18"/>
      <c r="B171" s="4"/>
      <c r="C171" s="23"/>
      <c r="G171" s="9"/>
    </row>
    <row r="172" spans="1:7" x14ac:dyDescent="0.25">
      <c r="A172" s="18"/>
      <c r="B172" s="4"/>
      <c r="C172" s="23"/>
    </row>
    <row r="173" spans="1:7" x14ac:dyDescent="0.25">
      <c r="A173" s="18"/>
      <c r="B173" s="4"/>
      <c r="C173" s="23"/>
      <c r="G173" s="7"/>
    </row>
    <row r="240" spans="1:3" x14ac:dyDescent="0.25">
      <c r="A240" s="18"/>
      <c r="B240" s="4"/>
      <c r="C240" s="23"/>
    </row>
  </sheetData>
  <autoFilter ref="A1:H240" xr:uid="{2B543102-7F5A-4A58-B7F1-6AA5F3CFE946}"/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172B-0FE9-4514-A04D-DF64F0387318}">
  <sheetPr>
    <tabColor theme="4" tint="0.39997558519241921"/>
  </sheetPr>
  <dimension ref="A1:H241"/>
  <sheetViews>
    <sheetView zoomScaleNormal="100" workbookViewId="0">
      <pane ySplit="1" topLeftCell="A2" activePane="bottomLeft" state="frozen"/>
      <selection activeCell="A33" sqref="A33"/>
      <selection pane="bottomLeft" activeCell="G15" sqref="G15"/>
    </sheetView>
  </sheetViews>
  <sheetFormatPr baseColWidth="10" defaultRowHeight="15" x14ac:dyDescent="0.25"/>
  <cols>
    <col min="2" max="2" width="12" bestFit="1" customWidth="1"/>
    <col min="3" max="3" width="16.42578125" customWidth="1"/>
    <col min="4" max="4" width="8.85546875" style="2" customWidth="1"/>
    <col min="5" max="5" width="16.5703125" bestFit="1" customWidth="1"/>
    <col min="6" max="6" width="18.28515625" customWidth="1"/>
    <col min="7" max="7" width="36.140625" bestFit="1" customWidth="1"/>
    <col min="8" max="8" width="217.7109375" bestFit="1" customWidth="1"/>
  </cols>
  <sheetData>
    <row r="1" spans="1:8" s="10" customFormat="1" x14ac:dyDescent="0.25">
      <c r="A1" s="1" t="s">
        <v>40</v>
      </c>
      <c r="B1" s="1" t="s">
        <v>0</v>
      </c>
      <c r="C1" s="1" t="s">
        <v>41</v>
      </c>
      <c r="D1" s="1" t="s">
        <v>42</v>
      </c>
      <c r="E1" s="3" t="s">
        <v>1</v>
      </c>
      <c r="F1" s="3" t="s">
        <v>43</v>
      </c>
      <c r="G1" s="3" t="s">
        <v>2</v>
      </c>
      <c r="H1" s="3" t="s">
        <v>273</v>
      </c>
    </row>
    <row r="2" spans="1:8" x14ac:dyDescent="0.25">
      <c r="A2" s="20">
        <v>46235</v>
      </c>
      <c r="B2" s="21" t="s">
        <v>8</v>
      </c>
      <c r="C2" s="14">
        <v>10</v>
      </c>
      <c r="D2" s="14"/>
      <c r="E2" s="22" t="s">
        <v>10</v>
      </c>
      <c r="F2" s="22" t="s">
        <v>16</v>
      </c>
      <c r="G2" s="22" t="s">
        <v>13</v>
      </c>
      <c r="H2" s="22" t="s">
        <v>161</v>
      </c>
    </row>
    <row r="3" spans="1:8" x14ac:dyDescent="0.25">
      <c r="A3" s="18">
        <v>46235</v>
      </c>
      <c r="B3" s="4" t="s">
        <v>8</v>
      </c>
      <c r="C3" s="23">
        <v>30</v>
      </c>
      <c r="D3" s="2">
        <v>8</v>
      </c>
      <c r="E3" s="19" t="s">
        <v>33</v>
      </c>
      <c r="F3" s="9" t="s">
        <v>11</v>
      </c>
      <c r="G3" s="9" t="s">
        <v>34</v>
      </c>
    </row>
    <row r="4" spans="1:8" x14ac:dyDescent="0.25">
      <c r="A4" s="18">
        <v>46235</v>
      </c>
      <c r="B4" s="4" t="s">
        <v>3</v>
      </c>
      <c r="C4" s="23">
        <v>15</v>
      </c>
      <c r="E4" s="19" t="s">
        <v>10</v>
      </c>
      <c r="F4" s="9" t="s">
        <v>28</v>
      </c>
      <c r="G4" t="s">
        <v>18</v>
      </c>
      <c r="H4" t="s">
        <v>162</v>
      </c>
    </row>
    <row r="5" spans="1:8" x14ac:dyDescent="0.25">
      <c r="A5" s="18">
        <v>46235</v>
      </c>
      <c r="B5" s="4" t="s">
        <v>3</v>
      </c>
      <c r="C5" s="23">
        <v>10</v>
      </c>
      <c r="E5" s="19" t="s">
        <v>10</v>
      </c>
      <c r="F5" s="9" t="s">
        <v>16</v>
      </c>
      <c r="G5" s="9" t="s">
        <v>13</v>
      </c>
      <c r="H5" t="s">
        <v>163</v>
      </c>
    </row>
    <row r="6" spans="1:8" x14ac:dyDescent="0.25">
      <c r="A6" s="18">
        <v>46235</v>
      </c>
      <c r="B6" s="4" t="s">
        <v>3</v>
      </c>
      <c r="C6" s="23">
        <v>10</v>
      </c>
      <c r="D6" s="2">
        <v>8</v>
      </c>
      <c r="E6" s="19" t="s">
        <v>10</v>
      </c>
      <c r="F6" s="9" t="s">
        <v>28</v>
      </c>
      <c r="G6" s="9" t="s">
        <v>18</v>
      </c>
    </row>
    <row r="7" spans="1:8" x14ac:dyDescent="0.25">
      <c r="A7" s="18">
        <v>46235</v>
      </c>
      <c r="B7" s="4" t="s">
        <v>6</v>
      </c>
      <c r="C7" s="23">
        <v>15</v>
      </c>
      <c r="E7" s="19" t="s">
        <v>10</v>
      </c>
      <c r="F7" s="9" t="s">
        <v>16</v>
      </c>
      <c r="G7" s="9" t="s">
        <v>13</v>
      </c>
      <c r="H7" t="s">
        <v>164</v>
      </c>
    </row>
    <row r="8" spans="1:8" x14ac:dyDescent="0.25">
      <c r="A8" s="18">
        <v>46235</v>
      </c>
      <c r="B8" s="4" t="s">
        <v>6</v>
      </c>
      <c r="C8" s="23">
        <v>15</v>
      </c>
      <c r="E8" s="19" t="s">
        <v>10</v>
      </c>
      <c r="F8" s="9" t="s">
        <v>16</v>
      </c>
      <c r="G8" s="9" t="s">
        <v>13</v>
      </c>
      <c r="H8" t="s">
        <v>165</v>
      </c>
    </row>
    <row r="9" spans="1:8" x14ac:dyDescent="0.25">
      <c r="A9" s="18">
        <v>46235</v>
      </c>
      <c r="B9" s="4" t="s">
        <v>6</v>
      </c>
      <c r="C9" s="23">
        <v>25</v>
      </c>
      <c r="D9" s="2">
        <v>8</v>
      </c>
      <c r="E9" s="19" t="s">
        <v>4</v>
      </c>
      <c r="F9" s="9" t="s">
        <v>29</v>
      </c>
      <c r="G9" s="9" t="s">
        <v>7</v>
      </c>
      <c r="H9" t="s">
        <v>166</v>
      </c>
    </row>
    <row r="10" spans="1:8" s="10" customFormat="1" x14ac:dyDescent="0.25">
      <c r="A10" s="24">
        <v>46237</v>
      </c>
      <c r="B10" s="4" t="s">
        <v>3</v>
      </c>
      <c r="C10" s="25">
        <v>20</v>
      </c>
      <c r="D10" s="26">
        <v>8</v>
      </c>
      <c r="E10" s="19" t="s">
        <v>10</v>
      </c>
      <c r="F10" s="27" t="s">
        <v>11</v>
      </c>
      <c r="G10" s="27" t="s">
        <v>167</v>
      </c>
      <c r="H10" s="28"/>
    </row>
    <row r="11" spans="1:8" x14ac:dyDescent="0.25">
      <c r="A11" s="24">
        <v>46237</v>
      </c>
      <c r="B11" s="4" t="s">
        <v>6</v>
      </c>
      <c r="C11" s="23">
        <v>15</v>
      </c>
      <c r="D11" s="2">
        <v>8</v>
      </c>
      <c r="E11" s="19" t="s">
        <v>10</v>
      </c>
      <c r="F11" s="9" t="s">
        <v>16</v>
      </c>
      <c r="G11" s="9" t="s">
        <v>13</v>
      </c>
      <c r="H11" t="s">
        <v>168</v>
      </c>
    </row>
    <row r="12" spans="1:8" x14ac:dyDescent="0.25">
      <c r="A12" s="24">
        <v>46237</v>
      </c>
      <c r="B12" s="4" t="s">
        <v>8</v>
      </c>
      <c r="C12" s="23">
        <v>25</v>
      </c>
      <c r="E12" s="19" t="s">
        <v>10</v>
      </c>
      <c r="F12" s="9" t="s">
        <v>16</v>
      </c>
      <c r="G12" s="9" t="s">
        <v>13</v>
      </c>
      <c r="H12" t="s">
        <v>169</v>
      </c>
    </row>
    <row r="13" spans="1:8" x14ac:dyDescent="0.25">
      <c r="A13" s="24">
        <v>46237</v>
      </c>
      <c r="B13" s="4" t="s">
        <v>8</v>
      </c>
      <c r="C13" s="23">
        <v>10</v>
      </c>
      <c r="E13" s="19" t="s">
        <v>10</v>
      </c>
      <c r="F13" s="9" t="s">
        <v>11</v>
      </c>
      <c r="G13" s="9" t="s">
        <v>13</v>
      </c>
    </row>
    <row r="14" spans="1:8" x14ac:dyDescent="0.25">
      <c r="A14" s="24">
        <v>46237</v>
      </c>
      <c r="B14" s="4" t="s">
        <v>8</v>
      </c>
      <c r="C14" s="23">
        <v>20</v>
      </c>
      <c r="D14" s="2">
        <v>8</v>
      </c>
      <c r="E14" s="19" t="s">
        <v>10</v>
      </c>
      <c r="F14" s="9" t="s">
        <v>16</v>
      </c>
      <c r="G14" s="9" t="s">
        <v>13</v>
      </c>
      <c r="H14" t="s">
        <v>170</v>
      </c>
    </row>
    <row r="15" spans="1:8" x14ac:dyDescent="0.25">
      <c r="A15" s="24">
        <v>46238</v>
      </c>
      <c r="B15" s="4" t="s">
        <v>3</v>
      </c>
      <c r="C15" s="23">
        <v>30</v>
      </c>
      <c r="E15" s="19" t="s">
        <v>4</v>
      </c>
      <c r="F15" s="9" t="s">
        <v>29</v>
      </c>
      <c r="G15" s="9" t="s">
        <v>5</v>
      </c>
      <c r="H15" s="29" t="s">
        <v>171</v>
      </c>
    </row>
    <row r="16" spans="1:8" x14ac:dyDescent="0.25">
      <c r="A16" s="24">
        <v>46238</v>
      </c>
      <c r="B16" s="4" t="s">
        <v>3</v>
      </c>
      <c r="C16" s="23">
        <v>90</v>
      </c>
      <c r="D16" s="2">
        <v>8</v>
      </c>
      <c r="E16" s="19" t="s">
        <v>4</v>
      </c>
      <c r="F16" s="9" t="s">
        <v>21</v>
      </c>
      <c r="G16" s="9" t="s">
        <v>5</v>
      </c>
      <c r="H16" t="s">
        <v>172</v>
      </c>
    </row>
    <row r="17" spans="1:8" x14ac:dyDescent="0.25">
      <c r="A17" s="24">
        <v>46238</v>
      </c>
      <c r="B17" s="4" t="s">
        <v>6</v>
      </c>
      <c r="C17" s="23">
        <v>10</v>
      </c>
      <c r="D17" s="2">
        <v>8</v>
      </c>
      <c r="E17" s="19" t="s">
        <v>10</v>
      </c>
      <c r="F17" s="9" t="s">
        <v>24</v>
      </c>
      <c r="G17" s="9" t="s">
        <v>25</v>
      </c>
    </row>
    <row r="18" spans="1:8" x14ac:dyDescent="0.25">
      <c r="A18" s="24">
        <v>46238</v>
      </c>
      <c r="B18" s="4" t="s">
        <v>8</v>
      </c>
      <c r="C18" s="23">
        <v>10</v>
      </c>
      <c r="E18" s="19" t="s">
        <v>10</v>
      </c>
      <c r="F18" s="9" t="s">
        <v>11</v>
      </c>
      <c r="G18" s="9" t="s">
        <v>13</v>
      </c>
      <c r="H18" s="29"/>
    </row>
    <row r="19" spans="1:8" x14ac:dyDescent="0.25">
      <c r="A19" s="24">
        <v>46238</v>
      </c>
      <c r="B19" s="4" t="s">
        <v>8</v>
      </c>
      <c r="C19" s="23">
        <v>10</v>
      </c>
      <c r="D19" s="2">
        <v>8</v>
      </c>
      <c r="E19" s="19" t="s">
        <v>10</v>
      </c>
      <c r="F19" s="9" t="s">
        <v>28</v>
      </c>
      <c r="G19" s="9" t="s">
        <v>18</v>
      </c>
      <c r="H19" s="29"/>
    </row>
    <row r="20" spans="1:8" x14ac:dyDescent="0.25">
      <c r="A20" s="18">
        <v>46239</v>
      </c>
      <c r="B20" s="4" t="s">
        <v>3</v>
      </c>
      <c r="C20" s="23">
        <v>15</v>
      </c>
      <c r="D20" s="2">
        <v>8</v>
      </c>
      <c r="E20" s="19" t="s">
        <v>10</v>
      </c>
      <c r="F20" s="9" t="s">
        <v>11</v>
      </c>
      <c r="G20" s="9" t="s">
        <v>13</v>
      </c>
    </row>
    <row r="21" spans="1:8" x14ac:dyDescent="0.25">
      <c r="A21" s="18">
        <v>46239</v>
      </c>
      <c r="B21" s="4" t="s">
        <v>6</v>
      </c>
      <c r="C21" s="23">
        <v>15</v>
      </c>
      <c r="D21" s="2">
        <v>8</v>
      </c>
      <c r="E21" s="19" t="s">
        <v>10</v>
      </c>
      <c r="F21" s="9" t="s">
        <v>28</v>
      </c>
      <c r="G21" s="9" t="s">
        <v>18</v>
      </c>
      <c r="H21" s="29"/>
    </row>
    <row r="22" spans="1:8" x14ac:dyDescent="0.25">
      <c r="A22" s="18">
        <v>46239</v>
      </c>
      <c r="B22" s="4" t="s">
        <v>8</v>
      </c>
      <c r="C22" s="23">
        <v>15</v>
      </c>
      <c r="D22" s="2">
        <v>8</v>
      </c>
      <c r="E22" s="19" t="s">
        <v>10</v>
      </c>
      <c r="F22" s="9" t="s">
        <v>28</v>
      </c>
      <c r="G22" s="9" t="s">
        <v>18</v>
      </c>
      <c r="H22" s="9" t="s">
        <v>173</v>
      </c>
    </row>
    <row r="23" spans="1:8" x14ac:dyDescent="0.25">
      <c r="A23" s="18">
        <v>46240</v>
      </c>
      <c r="B23" s="4" t="s">
        <v>3</v>
      </c>
      <c r="C23" s="23">
        <v>5</v>
      </c>
      <c r="E23" s="19" t="s">
        <v>10</v>
      </c>
      <c r="F23" s="9" t="s">
        <v>21</v>
      </c>
      <c r="G23" s="9" t="s">
        <v>18</v>
      </c>
      <c r="H23" s="29" t="s">
        <v>174</v>
      </c>
    </row>
    <row r="24" spans="1:8" x14ac:dyDescent="0.25">
      <c r="A24" s="18">
        <v>46240</v>
      </c>
      <c r="B24" s="4" t="s">
        <v>3</v>
      </c>
      <c r="C24" s="23">
        <v>20</v>
      </c>
      <c r="D24" s="2">
        <v>8</v>
      </c>
      <c r="E24" s="19" t="s">
        <v>10</v>
      </c>
      <c r="F24" s="9" t="s">
        <v>21</v>
      </c>
      <c r="G24" s="9" t="s">
        <v>18</v>
      </c>
      <c r="H24" s="29"/>
    </row>
    <row r="25" spans="1:8" x14ac:dyDescent="0.25">
      <c r="A25" s="18">
        <v>46240</v>
      </c>
      <c r="B25" s="4" t="s">
        <v>6</v>
      </c>
      <c r="C25" s="23">
        <v>0</v>
      </c>
      <c r="D25" s="2">
        <v>8</v>
      </c>
      <c r="E25" s="19"/>
      <c r="F25" s="9"/>
      <c r="H25" s="29"/>
    </row>
    <row r="26" spans="1:8" s="10" customFormat="1" x14ac:dyDescent="0.25">
      <c r="A26" s="18">
        <v>46240</v>
      </c>
      <c r="B26" s="4" t="s">
        <v>8</v>
      </c>
      <c r="C26" s="25">
        <v>30</v>
      </c>
      <c r="D26" s="26">
        <v>8</v>
      </c>
      <c r="E26" s="19" t="s">
        <v>4</v>
      </c>
      <c r="F26" s="9" t="s">
        <v>31</v>
      </c>
      <c r="G26" s="9" t="s">
        <v>5</v>
      </c>
      <c r="H26" s="28" t="s">
        <v>175</v>
      </c>
    </row>
    <row r="27" spans="1:8" s="10" customFormat="1" x14ac:dyDescent="0.25">
      <c r="A27" s="18">
        <v>46241</v>
      </c>
      <c r="B27" s="4" t="s">
        <v>3</v>
      </c>
      <c r="C27" s="25">
        <v>15</v>
      </c>
      <c r="D27" s="26"/>
      <c r="E27" s="19" t="s">
        <v>10</v>
      </c>
      <c r="F27" s="9" t="s">
        <v>21</v>
      </c>
      <c r="G27" s="9" t="s">
        <v>18</v>
      </c>
      <c r="H27" s="28" t="s">
        <v>176</v>
      </c>
    </row>
    <row r="28" spans="1:8" s="10" customFormat="1" x14ac:dyDescent="0.25">
      <c r="A28" s="18">
        <v>46241</v>
      </c>
      <c r="B28" s="4" t="s">
        <v>3</v>
      </c>
      <c r="C28" s="25">
        <v>10</v>
      </c>
      <c r="D28" s="26"/>
      <c r="E28" s="19" t="s">
        <v>10</v>
      </c>
      <c r="F28" s="9" t="s">
        <v>28</v>
      </c>
      <c r="G28" s="9" t="s">
        <v>18</v>
      </c>
      <c r="H28" s="28" t="s">
        <v>128</v>
      </c>
    </row>
    <row r="29" spans="1:8" s="10" customFormat="1" x14ac:dyDescent="0.25">
      <c r="A29" s="18">
        <v>46241</v>
      </c>
      <c r="B29" s="4" t="s">
        <v>3</v>
      </c>
      <c r="C29" s="25">
        <v>10</v>
      </c>
      <c r="D29" s="26">
        <v>8</v>
      </c>
      <c r="E29" s="19" t="s">
        <v>10</v>
      </c>
      <c r="F29" s="9" t="s">
        <v>11</v>
      </c>
      <c r="G29" s="9" t="s">
        <v>13</v>
      </c>
      <c r="H29" s="28"/>
    </row>
    <row r="30" spans="1:8" s="10" customFormat="1" x14ac:dyDescent="0.25">
      <c r="A30" s="18">
        <v>46241</v>
      </c>
      <c r="B30" s="4" t="s">
        <v>6</v>
      </c>
      <c r="C30" s="25">
        <v>15</v>
      </c>
      <c r="D30" s="26"/>
      <c r="E30" s="19" t="s">
        <v>10</v>
      </c>
      <c r="F30" s="9" t="s">
        <v>21</v>
      </c>
      <c r="G30" s="9" t="s">
        <v>18</v>
      </c>
      <c r="H30" s="28" t="s">
        <v>174</v>
      </c>
    </row>
    <row r="31" spans="1:8" s="10" customFormat="1" x14ac:dyDescent="0.25">
      <c r="A31" s="18">
        <v>46241</v>
      </c>
      <c r="B31" s="4" t="s">
        <v>6</v>
      </c>
      <c r="C31" s="25">
        <v>15</v>
      </c>
      <c r="D31" s="26"/>
      <c r="E31" s="19" t="s">
        <v>10</v>
      </c>
      <c r="F31" s="9" t="s">
        <v>16</v>
      </c>
      <c r="G31" s="9" t="s">
        <v>13</v>
      </c>
      <c r="H31" s="28" t="s">
        <v>177</v>
      </c>
    </row>
    <row r="32" spans="1:8" s="10" customFormat="1" x14ac:dyDescent="0.25">
      <c r="A32" s="18">
        <v>46241</v>
      </c>
      <c r="B32" s="4" t="s">
        <v>6</v>
      </c>
      <c r="C32" s="25">
        <v>15</v>
      </c>
      <c r="D32" s="26">
        <v>8</v>
      </c>
      <c r="E32" s="19" t="s">
        <v>10</v>
      </c>
      <c r="F32" s="9" t="s">
        <v>24</v>
      </c>
      <c r="G32" s="9" t="s">
        <v>25</v>
      </c>
      <c r="H32" s="28"/>
    </row>
    <row r="33" spans="1:8" s="10" customFormat="1" x14ac:dyDescent="0.25">
      <c r="A33" s="18">
        <v>46241</v>
      </c>
      <c r="B33" s="4" t="s">
        <v>8</v>
      </c>
      <c r="C33" s="25">
        <v>10</v>
      </c>
      <c r="D33" s="26">
        <v>8</v>
      </c>
      <c r="E33" s="19" t="s">
        <v>10</v>
      </c>
      <c r="F33" s="9" t="s">
        <v>11</v>
      </c>
      <c r="G33" s="9" t="s">
        <v>13</v>
      </c>
      <c r="H33" s="28"/>
    </row>
    <row r="34" spans="1:8" x14ac:dyDescent="0.25">
      <c r="A34" s="18">
        <v>46242</v>
      </c>
      <c r="B34" s="4" t="s">
        <v>3</v>
      </c>
      <c r="C34" s="23">
        <v>45</v>
      </c>
      <c r="E34" s="19" t="s">
        <v>10</v>
      </c>
      <c r="F34" s="9" t="s">
        <v>21</v>
      </c>
      <c r="G34" s="9" t="s">
        <v>178</v>
      </c>
    </row>
    <row r="35" spans="1:8" x14ac:dyDescent="0.25">
      <c r="A35" s="18">
        <v>46242</v>
      </c>
      <c r="B35" s="4" t="s">
        <v>3</v>
      </c>
      <c r="C35" s="23">
        <v>70</v>
      </c>
      <c r="E35" s="19" t="s">
        <v>4</v>
      </c>
      <c r="F35" s="9" t="s">
        <v>21</v>
      </c>
      <c r="G35" s="9" t="s">
        <v>7</v>
      </c>
      <c r="H35" s="29" t="s">
        <v>179</v>
      </c>
    </row>
    <row r="36" spans="1:8" x14ac:dyDescent="0.25">
      <c r="A36" s="20">
        <v>46242</v>
      </c>
      <c r="B36" s="21" t="s">
        <v>3</v>
      </c>
      <c r="C36" s="13">
        <v>30</v>
      </c>
      <c r="D36" s="14">
        <v>8</v>
      </c>
      <c r="E36" s="30" t="s">
        <v>4</v>
      </c>
      <c r="F36" s="31" t="s">
        <v>21</v>
      </c>
      <c r="G36" s="31" t="s">
        <v>5</v>
      </c>
      <c r="H36" s="22" t="s">
        <v>180</v>
      </c>
    </row>
    <row r="37" spans="1:8" x14ac:dyDescent="0.25">
      <c r="A37" s="20">
        <v>46242</v>
      </c>
      <c r="B37" s="21" t="s">
        <v>6</v>
      </c>
      <c r="C37" s="13">
        <v>30</v>
      </c>
      <c r="D37" s="14"/>
      <c r="E37" s="30" t="s">
        <v>4</v>
      </c>
      <c r="F37" s="31" t="s">
        <v>21</v>
      </c>
      <c r="G37" s="31" t="s">
        <v>5</v>
      </c>
      <c r="H37" s="22" t="s">
        <v>181</v>
      </c>
    </row>
    <row r="38" spans="1:8" x14ac:dyDescent="0.25">
      <c r="A38" s="18">
        <v>46242</v>
      </c>
      <c r="B38" s="4" t="s">
        <v>6</v>
      </c>
      <c r="C38" s="23">
        <v>5</v>
      </c>
      <c r="D38" s="2">
        <v>8</v>
      </c>
      <c r="E38" s="19" t="s">
        <v>10</v>
      </c>
      <c r="F38" s="9" t="s">
        <v>11</v>
      </c>
      <c r="G38" s="9" t="s">
        <v>13</v>
      </c>
      <c r="H38" s="29"/>
    </row>
    <row r="39" spans="1:8" x14ac:dyDescent="0.25">
      <c r="A39" s="18">
        <v>46242</v>
      </c>
      <c r="B39" s="4" t="s">
        <v>8</v>
      </c>
      <c r="C39" s="23">
        <v>10</v>
      </c>
      <c r="E39" s="19" t="s">
        <v>10</v>
      </c>
      <c r="F39" s="9" t="s">
        <v>11</v>
      </c>
      <c r="G39" s="9" t="s">
        <v>13</v>
      </c>
      <c r="H39" s="29"/>
    </row>
    <row r="40" spans="1:8" x14ac:dyDescent="0.25">
      <c r="A40" s="18">
        <v>46242</v>
      </c>
      <c r="B40" s="4" t="s">
        <v>8</v>
      </c>
      <c r="C40" s="23">
        <v>10</v>
      </c>
      <c r="D40" s="2">
        <v>8</v>
      </c>
      <c r="E40" s="19" t="s">
        <v>10</v>
      </c>
      <c r="F40" s="9" t="s">
        <v>11</v>
      </c>
      <c r="G40" s="9" t="s">
        <v>13</v>
      </c>
      <c r="H40" s="29"/>
    </row>
    <row r="41" spans="1:8" x14ac:dyDescent="0.25">
      <c r="A41" s="18">
        <v>46243</v>
      </c>
      <c r="B41" s="4" t="s">
        <v>3</v>
      </c>
      <c r="C41" s="23">
        <v>10</v>
      </c>
      <c r="E41" s="19" t="s">
        <v>10</v>
      </c>
      <c r="F41" s="9" t="s">
        <v>21</v>
      </c>
      <c r="G41" s="9" t="s">
        <v>18</v>
      </c>
      <c r="H41" s="29" t="s">
        <v>174</v>
      </c>
    </row>
    <row r="42" spans="1:8" x14ac:dyDescent="0.25">
      <c r="A42" s="18">
        <v>46243</v>
      </c>
      <c r="B42" s="4" t="s">
        <v>3</v>
      </c>
      <c r="C42" s="23">
        <v>30</v>
      </c>
      <c r="D42" s="2">
        <v>8</v>
      </c>
      <c r="E42" s="19" t="s">
        <v>10</v>
      </c>
      <c r="F42" s="9" t="s">
        <v>21</v>
      </c>
      <c r="G42" s="9" t="s">
        <v>18</v>
      </c>
      <c r="H42" s="29" t="s">
        <v>182</v>
      </c>
    </row>
    <row r="43" spans="1:8" x14ac:dyDescent="0.25">
      <c r="A43" s="18">
        <v>46244</v>
      </c>
      <c r="B43" s="4" t="s">
        <v>6</v>
      </c>
      <c r="C43" s="23">
        <v>90</v>
      </c>
      <c r="D43" s="2">
        <v>8</v>
      </c>
      <c r="E43" s="19" t="s">
        <v>10</v>
      </c>
      <c r="F43" s="9" t="s">
        <v>21</v>
      </c>
      <c r="G43" s="9" t="s">
        <v>18</v>
      </c>
      <c r="H43" s="29" t="s">
        <v>183</v>
      </c>
    </row>
    <row r="44" spans="1:8" x14ac:dyDescent="0.25">
      <c r="A44" s="18">
        <v>46244</v>
      </c>
      <c r="B44" s="4" t="s">
        <v>8</v>
      </c>
      <c r="C44" s="23">
        <v>10</v>
      </c>
      <c r="E44" s="19" t="s">
        <v>10</v>
      </c>
      <c r="F44" s="9" t="s">
        <v>11</v>
      </c>
      <c r="G44" s="9" t="s">
        <v>13</v>
      </c>
      <c r="H44" s="29"/>
    </row>
    <row r="45" spans="1:8" x14ac:dyDescent="0.25">
      <c r="A45" s="18">
        <v>46244</v>
      </c>
      <c r="B45" s="4" t="s">
        <v>8</v>
      </c>
      <c r="C45" s="23">
        <v>5</v>
      </c>
      <c r="E45" s="19" t="s">
        <v>10</v>
      </c>
      <c r="F45" s="9" t="s">
        <v>11</v>
      </c>
      <c r="G45" s="9" t="s">
        <v>13</v>
      </c>
      <c r="H45" s="29"/>
    </row>
    <row r="46" spans="1:8" x14ac:dyDescent="0.25">
      <c r="A46" s="20">
        <v>46244</v>
      </c>
      <c r="B46" s="21" t="s">
        <v>8</v>
      </c>
      <c r="C46" s="13">
        <v>80</v>
      </c>
      <c r="D46" s="14">
        <v>8</v>
      </c>
      <c r="E46" s="30" t="s">
        <v>4</v>
      </c>
      <c r="F46" s="31" t="s">
        <v>21</v>
      </c>
      <c r="G46" s="31" t="s">
        <v>5</v>
      </c>
      <c r="H46" s="22" t="s">
        <v>184</v>
      </c>
    </row>
    <row r="47" spans="1:8" s="10" customFormat="1" x14ac:dyDescent="0.25">
      <c r="A47" s="18">
        <v>46244</v>
      </c>
      <c r="B47" s="4" t="s">
        <v>3</v>
      </c>
      <c r="C47" s="25">
        <v>10</v>
      </c>
      <c r="D47" s="26"/>
      <c r="E47" s="19" t="s">
        <v>10</v>
      </c>
      <c r="F47" s="27" t="s">
        <v>16</v>
      </c>
      <c r="G47" s="27" t="s">
        <v>13</v>
      </c>
      <c r="H47" s="28" t="s">
        <v>185</v>
      </c>
    </row>
    <row r="48" spans="1:8" s="10" customFormat="1" x14ac:dyDescent="0.25">
      <c r="A48" s="18">
        <v>46244</v>
      </c>
      <c r="B48" s="4" t="s">
        <v>3</v>
      </c>
      <c r="C48" s="25">
        <v>5</v>
      </c>
      <c r="D48" s="26">
        <v>8</v>
      </c>
      <c r="E48" s="19" t="s">
        <v>10</v>
      </c>
      <c r="F48" s="9" t="s">
        <v>11</v>
      </c>
      <c r="G48" s="9" t="s">
        <v>13</v>
      </c>
      <c r="H48" s="28"/>
    </row>
    <row r="49" spans="1:8" x14ac:dyDescent="0.25">
      <c r="A49" s="24">
        <v>46245</v>
      </c>
      <c r="B49" s="4" t="s">
        <v>6</v>
      </c>
      <c r="C49" s="23">
        <v>10</v>
      </c>
      <c r="E49" s="19" t="s">
        <v>10</v>
      </c>
      <c r="F49" s="9" t="s">
        <v>11</v>
      </c>
      <c r="G49" s="9" t="s">
        <v>13</v>
      </c>
      <c r="H49" s="29"/>
    </row>
    <row r="50" spans="1:8" x14ac:dyDescent="0.25">
      <c r="A50" s="24">
        <v>46245</v>
      </c>
      <c r="B50" s="4" t="s">
        <v>6</v>
      </c>
      <c r="C50" s="23">
        <v>10</v>
      </c>
      <c r="E50" s="19" t="s">
        <v>10</v>
      </c>
      <c r="F50" s="9" t="s">
        <v>11</v>
      </c>
      <c r="G50" s="9" t="s">
        <v>13</v>
      </c>
    </row>
    <row r="51" spans="1:8" x14ac:dyDescent="0.25">
      <c r="A51" s="24">
        <v>46245</v>
      </c>
      <c r="B51" s="4" t="s">
        <v>6</v>
      </c>
      <c r="C51" s="23">
        <v>10</v>
      </c>
      <c r="D51" s="2">
        <v>8</v>
      </c>
      <c r="E51" s="19" t="s">
        <v>10</v>
      </c>
      <c r="F51" s="9" t="s">
        <v>11</v>
      </c>
      <c r="G51" s="9" t="s">
        <v>13</v>
      </c>
    </row>
    <row r="52" spans="1:8" x14ac:dyDescent="0.25">
      <c r="A52" s="24">
        <v>46245</v>
      </c>
      <c r="B52" s="4" t="s">
        <v>8</v>
      </c>
      <c r="C52" s="23">
        <v>10</v>
      </c>
      <c r="E52" s="19" t="s">
        <v>4</v>
      </c>
      <c r="F52" s="9" t="s">
        <v>17</v>
      </c>
      <c r="G52" s="9" t="s">
        <v>5</v>
      </c>
      <c r="H52" t="s">
        <v>186</v>
      </c>
    </row>
    <row r="53" spans="1:8" x14ac:dyDescent="0.25">
      <c r="A53" s="24">
        <v>46245</v>
      </c>
      <c r="B53" s="4" t="s">
        <v>8</v>
      </c>
      <c r="C53" s="23">
        <v>10</v>
      </c>
      <c r="E53" s="19" t="s">
        <v>10</v>
      </c>
      <c r="F53" s="9" t="s">
        <v>11</v>
      </c>
      <c r="G53" s="9" t="s">
        <v>13</v>
      </c>
    </row>
    <row r="54" spans="1:8" x14ac:dyDescent="0.25">
      <c r="A54" s="24">
        <v>46245</v>
      </c>
      <c r="B54" s="4" t="s">
        <v>8</v>
      </c>
      <c r="C54" s="2">
        <v>20</v>
      </c>
      <c r="D54" s="2">
        <v>8</v>
      </c>
      <c r="E54" s="19" t="s">
        <v>10</v>
      </c>
      <c r="F54" s="27" t="s">
        <v>16</v>
      </c>
      <c r="G54" s="27" t="s">
        <v>13</v>
      </c>
      <c r="H54" t="s">
        <v>187</v>
      </c>
    </row>
    <row r="55" spans="1:8" x14ac:dyDescent="0.25">
      <c r="A55" s="24">
        <v>46245</v>
      </c>
      <c r="B55" s="4" t="s">
        <v>3</v>
      </c>
      <c r="C55" s="23">
        <v>15</v>
      </c>
      <c r="D55" s="2">
        <v>8</v>
      </c>
      <c r="E55" s="19" t="s">
        <v>10</v>
      </c>
      <c r="F55" s="9" t="s">
        <v>11</v>
      </c>
      <c r="G55" s="7" t="s">
        <v>15</v>
      </c>
    </row>
    <row r="56" spans="1:8" x14ac:dyDescent="0.25">
      <c r="A56" s="18">
        <v>46246</v>
      </c>
      <c r="B56" s="4" t="s">
        <v>6</v>
      </c>
      <c r="C56" s="23">
        <v>480</v>
      </c>
      <c r="E56" s="19" t="s">
        <v>37</v>
      </c>
      <c r="F56" s="9" t="s">
        <v>11</v>
      </c>
      <c r="G56" s="9" t="s">
        <v>62</v>
      </c>
    </row>
    <row r="57" spans="1:8" x14ac:dyDescent="0.25">
      <c r="A57" s="18">
        <v>46246</v>
      </c>
      <c r="B57" s="4" t="s">
        <v>8</v>
      </c>
      <c r="C57" s="23">
        <v>240</v>
      </c>
      <c r="D57" s="2">
        <v>8</v>
      </c>
      <c r="E57" s="19" t="s">
        <v>37</v>
      </c>
      <c r="F57" s="9" t="s">
        <v>11</v>
      </c>
      <c r="G57" s="9" t="s">
        <v>62</v>
      </c>
      <c r="H57" t="s">
        <v>188</v>
      </c>
    </row>
    <row r="58" spans="1:8" x14ac:dyDescent="0.25">
      <c r="A58" s="18">
        <v>46246</v>
      </c>
      <c r="B58" s="4" t="s">
        <v>3</v>
      </c>
      <c r="C58" s="23">
        <v>15</v>
      </c>
      <c r="E58" s="19" t="s">
        <v>10</v>
      </c>
      <c r="F58" s="9" t="s">
        <v>29</v>
      </c>
      <c r="G58" s="9" t="s">
        <v>18</v>
      </c>
      <c r="H58" t="s">
        <v>189</v>
      </c>
    </row>
    <row r="59" spans="1:8" x14ac:dyDescent="0.25">
      <c r="A59" s="18">
        <v>46246</v>
      </c>
      <c r="B59" s="4" t="s">
        <v>3</v>
      </c>
      <c r="C59" s="23">
        <v>20</v>
      </c>
      <c r="D59" s="2">
        <v>8</v>
      </c>
      <c r="E59" s="19" t="s">
        <v>4</v>
      </c>
      <c r="F59" s="9" t="s">
        <v>17</v>
      </c>
      <c r="G59" s="7" t="s">
        <v>7</v>
      </c>
      <c r="H59" t="s">
        <v>190</v>
      </c>
    </row>
    <row r="60" spans="1:8" x14ac:dyDescent="0.25">
      <c r="A60" s="18">
        <v>46247</v>
      </c>
      <c r="B60" s="4" t="s">
        <v>6</v>
      </c>
      <c r="C60" s="23">
        <v>20</v>
      </c>
      <c r="D60" s="2">
        <v>8</v>
      </c>
      <c r="E60" s="19" t="s">
        <v>10</v>
      </c>
      <c r="F60" s="9" t="s">
        <v>11</v>
      </c>
      <c r="G60" s="9" t="s">
        <v>13</v>
      </c>
      <c r="H60" t="s">
        <v>191</v>
      </c>
    </row>
    <row r="61" spans="1:8" x14ac:dyDescent="0.25">
      <c r="A61" s="18">
        <v>46247</v>
      </c>
      <c r="B61" s="4" t="s">
        <v>8</v>
      </c>
      <c r="C61" s="23">
        <v>35</v>
      </c>
      <c r="D61" s="2">
        <v>8</v>
      </c>
      <c r="E61" s="19" t="s">
        <v>4</v>
      </c>
      <c r="F61" s="9" t="s">
        <v>31</v>
      </c>
      <c r="G61" s="9" t="s">
        <v>5</v>
      </c>
      <c r="H61" t="s">
        <v>192</v>
      </c>
    </row>
    <row r="62" spans="1:8" x14ac:dyDescent="0.25">
      <c r="A62" s="18">
        <v>46247</v>
      </c>
      <c r="B62" s="4" t="s">
        <v>3</v>
      </c>
      <c r="C62" s="23">
        <v>15</v>
      </c>
      <c r="E62" s="19" t="s">
        <v>10</v>
      </c>
      <c r="F62" s="9" t="s">
        <v>11</v>
      </c>
      <c r="G62" s="9" t="s">
        <v>13</v>
      </c>
    </row>
    <row r="63" spans="1:8" x14ac:dyDescent="0.25">
      <c r="A63" s="18">
        <v>46247</v>
      </c>
      <c r="B63" s="4" t="s">
        <v>3</v>
      </c>
      <c r="C63" s="23">
        <v>10</v>
      </c>
      <c r="D63" s="2">
        <v>8</v>
      </c>
      <c r="E63" s="19" t="s">
        <v>4</v>
      </c>
      <c r="F63" s="9" t="s">
        <v>24</v>
      </c>
      <c r="G63" s="7" t="s">
        <v>7</v>
      </c>
      <c r="H63" t="s">
        <v>193</v>
      </c>
    </row>
    <row r="64" spans="1:8" x14ac:dyDescent="0.25">
      <c r="A64" s="18">
        <v>46248</v>
      </c>
      <c r="B64" s="4" t="s">
        <v>6</v>
      </c>
      <c r="C64" s="23">
        <v>60</v>
      </c>
      <c r="E64" s="19" t="s">
        <v>35</v>
      </c>
      <c r="F64" s="9" t="s">
        <v>11</v>
      </c>
      <c r="G64" s="9" t="s">
        <v>194</v>
      </c>
    </row>
    <row r="65" spans="1:8" x14ac:dyDescent="0.25">
      <c r="A65" s="18">
        <v>46248</v>
      </c>
      <c r="B65" s="4" t="s">
        <v>6</v>
      </c>
      <c r="C65" s="23">
        <v>30</v>
      </c>
      <c r="D65" s="2">
        <v>8</v>
      </c>
      <c r="E65" s="19" t="s">
        <v>4</v>
      </c>
      <c r="F65" s="9" t="s">
        <v>29</v>
      </c>
      <c r="G65" s="9" t="s">
        <v>7</v>
      </c>
      <c r="H65" t="s">
        <v>195</v>
      </c>
    </row>
    <row r="66" spans="1:8" x14ac:dyDescent="0.25">
      <c r="A66" s="18">
        <v>46248</v>
      </c>
      <c r="B66" s="4" t="s">
        <v>8</v>
      </c>
      <c r="C66" s="23">
        <v>0</v>
      </c>
      <c r="D66" s="2">
        <v>8</v>
      </c>
      <c r="E66" s="19"/>
      <c r="F66" s="9"/>
      <c r="G66" s="9"/>
    </row>
    <row r="67" spans="1:8" x14ac:dyDescent="0.25">
      <c r="A67" s="18">
        <v>46248</v>
      </c>
      <c r="B67" s="4" t="s">
        <v>3</v>
      </c>
      <c r="C67" s="23">
        <v>10</v>
      </c>
      <c r="D67" s="2">
        <v>8</v>
      </c>
      <c r="E67" s="19" t="s">
        <v>10</v>
      </c>
      <c r="F67" s="9" t="s">
        <v>11</v>
      </c>
      <c r="G67" s="9" t="s">
        <v>13</v>
      </c>
    </row>
    <row r="68" spans="1:8" x14ac:dyDescent="0.25">
      <c r="A68" s="18">
        <v>46249</v>
      </c>
      <c r="B68" s="4" t="s">
        <v>6</v>
      </c>
      <c r="C68" s="23">
        <v>10</v>
      </c>
      <c r="E68" s="19" t="s">
        <v>10</v>
      </c>
      <c r="F68" s="9" t="s">
        <v>11</v>
      </c>
      <c r="G68" s="9" t="s">
        <v>13</v>
      </c>
    </row>
    <row r="69" spans="1:8" x14ac:dyDescent="0.25">
      <c r="A69" s="18">
        <v>46249</v>
      </c>
      <c r="B69" s="4" t="s">
        <v>6</v>
      </c>
      <c r="C69" s="23">
        <v>10</v>
      </c>
      <c r="E69" s="19" t="s">
        <v>10</v>
      </c>
      <c r="F69" s="9" t="s">
        <v>11</v>
      </c>
      <c r="G69" s="9" t="s">
        <v>13</v>
      </c>
    </row>
    <row r="70" spans="1:8" x14ac:dyDescent="0.25">
      <c r="A70" s="18">
        <v>46249</v>
      </c>
      <c r="B70" s="4" t="s">
        <v>6</v>
      </c>
      <c r="C70" s="23">
        <v>10</v>
      </c>
      <c r="E70" s="19" t="s">
        <v>10</v>
      </c>
      <c r="F70" s="9" t="s">
        <v>11</v>
      </c>
      <c r="G70" s="9" t="s">
        <v>13</v>
      </c>
    </row>
    <row r="71" spans="1:8" x14ac:dyDescent="0.25">
      <c r="A71" s="18">
        <v>46249</v>
      </c>
      <c r="B71" s="4" t="s">
        <v>6</v>
      </c>
      <c r="C71" s="23">
        <v>10</v>
      </c>
      <c r="E71" s="19" t="s">
        <v>10</v>
      </c>
      <c r="F71" s="9" t="s">
        <v>11</v>
      </c>
      <c r="G71" s="9" t="s">
        <v>13</v>
      </c>
    </row>
    <row r="72" spans="1:8" x14ac:dyDescent="0.25">
      <c r="A72" s="18">
        <v>46249</v>
      </c>
      <c r="B72" s="4" t="s">
        <v>6</v>
      </c>
      <c r="C72" s="23">
        <v>15</v>
      </c>
      <c r="D72" s="2">
        <v>8</v>
      </c>
      <c r="E72" s="19" t="s">
        <v>4</v>
      </c>
      <c r="F72" s="9" t="s">
        <v>31</v>
      </c>
      <c r="G72" s="32" t="s">
        <v>5</v>
      </c>
      <c r="H72" t="s">
        <v>192</v>
      </c>
    </row>
    <row r="73" spans="1:8" x14ac:dyDescent="0.25">
      <c r="A73" s="18">
        <v>46249</v>
      </c>
      <c r="B73" s="4" t="s">
        <v>8</v>
      </c>
      <c r="C73" s="23">
        <v>45</v>
      </c>
      <c r="D73" s="2">
        <v>8</v>
      </c>
      <c r="E73" s="19" t="s">
        <v>4</v>
      </c>
      <c r="F73" s="9" t="s">
        <v>31</v>
      </c>
      <c r="G73" s="32" t="s">
        <v>5</v>
      </c>
      <c r="H73" t="s">
        <v>196</v>
      </c>
    </row>
    <row r="74" spans="1:8" x14ac:dyDescent="0.25">
      <c r="A74" s="18">
        <v>46249</v>
      </c>
      <c r="B74" s="4" t="s">
        <v>3</v>
      </c>
      <c r="C74" s="23">
        <v>10</v>
      </c>
      <c r="E74" s="19" t="s">
        <v>10</v>
      </c>
      <c r="F74" s="9" t="s">
        <v>11</v>
      </c>
      <c r="G74" s="9" t="s">
        <v>13</v>
      </c>
    </row>
    <row r="75" spans="1:8" x14ac:dyDescent="0.25">
      <c r="A75" s="18">
        <v>46249</v>
      </c>
      <c r="B75" s="4" t="s">
        <v>3</v>
      </c>
      <c r="C75" s="23">
        <v>10</v>
      </c>
      <c r="E75" s="19" t="s">
        <v>10</v>
      </c>
      <c r="F75" s="9" t="s">
        <v>11</v>
      </c>
      <c r="G75" s="9" t="s">
        <v>13</v>
      </c>
    </row>
    <row r="76" spans="1:8" x14ac:dyDescent="0.25">
      <c r="A76" s="18">
        <v>46249</v>
      </c>
      <c r="B76" s="4" t="s">
        <v>3</v>
      </c>
      <c r="C76" s="23">
        <v>10</v>
      </c>
      <c r="E76" s="19" t="s">
        <v>10</v>
      </c>
      <c r="F76" s="9" t="s">
        <v>11</v>
      </c>
      <c r="G76" s="9" t="s">
        <v>13</v>
      </c>
    </row>
    <row r="77" spans="1:8" x14ac:dyDescent="0.25">
      <c r="A77" s="18">
        <v>46249</v>
      </c>
      <c r="B77" s="4" t="s">
        <v>3</v>
      </c>
      <c r="C77" s="23">
        <v>10</v>
      </c>
      <c r="D77" s="2">
        <v>8</v>
      </c>
      <c r="E77" s="19" t="s">
        <v>10</v>
      </c>
      <c r="F77" s="9" t="s">
        <v>11</v>
      </c>
      <c r="G77" s="9" t="s">
        <v>13</v>
      </c>
    </row>
    <row r="78" spans="1:8" x14ac:dyDescent="0.25">
      <c r="A78" s="18">
        <v>46252</v>
      </c>
      <c r="B78" s="4" t="s">
        <v>8</v>
      </c>
      <c r="C78" s="23">
        <v>60</v>
      </c>
      <c r="E78" s="19" t="s">
        <v>4</v>
      </c>
      <c r="F78" s="9" t="s">
        <v>21</v>
      </c>
      <c r="G78" s="32" t="s">
        <v>5</v>
      </c>
      <c r="H78" t="s">
        <v>197</v>
      </c>
    </row>
    <row r="79" spans="1:8" x14ac:dyDescent="0.25">
      <c r="A79" s="18">
        <v>46252</v>
      </c>
      <c r="B79" s="4" t="s">
        <v>8</v>
      </c>
      <c r="C79" s="23">
        <v>30</v>
      </c>
      <c r="D79" s="2">
        <v>8</v>
      </c>
      <c r="E79" s="19" t="s">
        <v>4</v>
      </c>
      <c r="F79" s="9" t="s">
        <v>24</v>
      </c>
      <c r="G79" s="32" t="s">
        <v>7</v>
      </c>
      <c r="H79" t="s">
        <v>198</v>
      </c>
    </row>
    <row r="80" spans="1:8" x14ac:dyDescent="0.25">
      <c r="A80" s="18">
        <v>46252</v>
      </c>
      <c r="B80" s="4" t="s">
        <v>3</v>
      </c>
      <c r="C80" s="23">
        <v>10</v>
      </c>
      <c r="E80" s="19" t="s">
        <v>10</v>
      </c>
      <c r="F80" s="9" t="s">
        <v>11</v>
      </c>
      <c r="G80" s="9" t="s">
        <v>13</v>
      </c>
    </row>
    <row r="81" spans="1:8" x14ac:dyDescent="0.25">
      <c r="A81" s="18">
        <v>46252</v>
      </c>
      <c r="B81" s="4" t="s">
        <v>3</v>
      </c>
      <c r="C81" s="23">
        <v>10</v>
      </c>
      <c r="D81" s="2">
        <v>8</v>
      </c>
      <c r="E81" s="19" t="s">
        <v>10</v>
      </c>
      <c r="F81" s="9" t="s">
        <v>11</v>
      </c>
      <c r="G81" s="9" t="s">
        <v>13</v>
      </c>
    </row>
    <row r="82" spans="1:8" x14ac:dyDescent="0.25">
      <c r="A82" s="18">
        <v>46252</v>
      </c>
      <c r="B82" s="4" t="s">
        <v>6</v>
      </c>
      <c r="C82" s="23">
        <v>5</v>
      </c>
      <c r="E82" s="19" t="s">
        <v>10</v>
      </c>
      <c r="F82" s="9" t="s">
        <v>11</v>
      </c>
      <c r="G82" s="9" t="s">
        <v>13</v>
      </c>
      <c r="H82" t="s">
        <v>75</v>
      </c>
    </row>
    <row r="83" spans="1:8" x14ac:dyDescent="0.25">
      <c r="A83" s="18">
        <v>46252</v>
      </c>
      <c r="B83" s="4" t="s">
        <v>6</v>
      </c>
      <c r="C83" s="23">
        <v>10</v>
      </c>
      <c r="D83" s="2">
        <v>8</v>
      </c>
      <c r="E83" s="19" t="s">
        <v>10</v>
      </c>
      <c r="F83" s="9" t="s">
        <v>29</v>
      </c>
      <c r="G83" s="32" t="s">
        <v>18</v>
      </c>
    </row>
    <row r="84" spans="1:8" x14ac:dyDescent="0.25">
      <c r="A84" s="18">
        <v>46253</v>
      </c>
      <c r="B84" s="4" t="s">
        <v>8</v>
      </c>
      <c r="C84" s="23">
        <v>60</v>
      </c>
      <c r="D84" s="2">
        <v>8</v>
      </c>
      <c r="E84" s="19" t="s">
        <v>37</v>
      </c>
      <c r="F84" s="9" t="s">
        <v>11</v>
      </c>
      <c r="G84" s="32" t="s">
        <v>62</v>
      </c>
      <c r="H84" t="s">
        <v>199</v>
      </c>
    </row>
    <row r="85" spans="1:8" x14ac:dyDescent="0.25">
      <c r="A85" s="18">
        <v>46253</v>
      </c>
      <c r="B85" s="4" t="s">
        <v>3</v>
      </c>
      <c r="C85" s="23">
        <v>20</v>
      </c>
      <c r="D85" s="2">
        <v>8</v>
      </c>
      <c r="E85" s="19" t="s">
        <v>10</v>
      </c>
      <c r="F85" s="9" t="s">
        <v>11</v>
      </c>
      <c r="G85" s="9" t="s">
        <v>13</v>
      </c>
    </row>
    <row r="86" spans="1:8" x14ac:dyDescent="0.25">
      <c r="A86" s="18">
        <v>46253</v>
      </c>
      <c r="B86" s="4" t="s">
        <v>6</v>
      </c>
      <c r="C86" s="23">
        <v>0</v>
      </c>
      <c r="D86" s="2">
        <v>8</v>
      </c>
      <c r="E86" s="19"/>
      <c r="F86" s="9"/>
      <c r="G86" s="32"/>
    </row>
    <row r="87" spans="1:8" x14ac:dyDescent="0.25">
      <c r="A87" s="18">
        <v>46254</v>
      </c>
      <c r="B87" s="4" t="s">
        <v>8</v>
      </c>
      <c r="C87" s="23">
        <v>10</v>
      </c>
      <c r="D87" s="2">
        <v>8</v>
      </c>
      <c r="E87" s="19" t="s">
        <v>10</v>
      </c>
      <c r="F87" s="9" t="s">
        <v>24</v>
      </c>
      <c r="G87" s="32" t="s">
        <v>200</v>
      </c>
    </row>
    <row r="88" spans="1:8" x14ac:dyDescent="0.25">
      <c r="A88" s="18">
        <v>46254</v>
      </c>
      <c r="B88" s="4" t="s">
        <v>3</v>
      </c>
      <c r="C88" s="23">
        <v>50</v>
      </c>
      <c r="E88" s="19" t="s">
        <v>35</v>
      </c>
      <c r="F88" s="9" t="s">
        <v>11</v>
      </c>
      <c r="G88" s="32" t="s">
        <v>201</v>
      </c>
    </row>
    <row r="89" spans="1:8" x14ac:dyDescent="0.25">
      <c r="A89" s="18">
        <v>46254</v>
      </c>
      <c r="B89" s="4" t="s">
        <v>3</v>
      </c>
      <c r="C89" s="23">
        <v>10</v>
      </c>
      <c r="D89" s="2">
        <v>8</v>
      </c>
      <c r="E89" s="19" t="s">
        <v>10</v>
      </c>
      <c r="F89" s="9" t="s">
        <v>11</v>
      </c>
      <c r="G89" s="9" t="s">
        <v>13</v>
      </c>
    </row>
    <row r="90" spans="1:8" x14ac:dyDescent="0.25">
      <c r="A90" s="18">
        <v>46254</v>
      </c>
      <c r="B90" s="4" t="s">
        <v>6</v>
      </c>
      <c r="C90" s="23">
        <v>25</v>
      </c>
      <c r="E90" s="19" t="s">
        <v>4</v>
      </c>
      <c r="F90" s="9" t="s">
        <v>29</v>
      </c>
      <c r="G90" s="32" t="s">
        <v>7</v>
      </c>
      <c r="H90" t="s">
        <v>202</v>
      </c>
    </row>
    <row r="91" spans="1:8" x14ac:dyDescent="0.25">
      <c r="A91" s="18">
        <v>46254</v>
      </c>
      <c r="B91" s="4" t="s">
        <v>6</v>
      </c>
      <c r="C91" s="23">
        <v>15</v>
      </c>
      <c r="E91" s="19" t="s">
        <v>10</v>
      </c>
      <c r="F91" s="9" t="s">
        <v>11</v>
      </c>
      <c r="G91" s="9" t="s">
        <v>13</v>
      </c>
    </row>
    <row r="92" spans="1:8" x14ac:dyDescent="0.25">
      <c r="A92" s="20">
        <v>46254</v>
      </c>
      <c r="B92" s="21" t="s">
        <v>6</v>
      </c>
      <c r="C92" s="13">
        <v>145</v>
      </c>
      <c r="D92" s="14">
        <v>8</v>
      </c>
      <c r="E92" s="30" t="s">
        <v>4</v>
      </c>
      <c r="F92" s="31" t="s">
        <v>21</v>
      </c>
      <c r="G92" s="33" t="s">
        <v>5</v>
      </c>
      <c r="H92" s="22" t="s">
        <v>203</v>
      </c>
    </row>
    <row r="93" spans="1:8" x14ac:dyDescent="0.25">
      <c r="A93" s="18"/>
      <c r="B93" s="4"/>
      <c r="C93" s="23"/>
      <c r="E93" s="19"/>
      <c r="F93" s="9"/>
      <c r="G93" s="32"/>
    </row>
    <row r="94" spans="1:8" x14ac:dyDescent="0.25">
      <c r="A94" s="18"/>
      <c r="B94" s="4"/>
      <c r="C94" s="23"/>
      <c r="E94" s="19"/>
      <c r="F94" s="9"/>
      <c r="G94" s="32"/>
    </row>
    <row r="95" spans="1:8" x14ac:dyDescent="0.25">
      <c r="A95" s="18"/>
      <c r="B95" s="4"/>
      <c r="C95" s="23"/>
      <c r="E95" s="19"/>
      <c r="F95" s="9"/>
    </row>
    <row r="96" spans="1:8" x14ac:dyDescent="0.25">
      <c r="A96" s="18"/>
      <c r="B96" s="4"/>
      <c r="C96" s="23"/>
      <c r="E96" s="19"/>
      <c r="F96" s="9"/>
      <c r="G96" s="9"/>
    </row>
    <row r="97" spans="1:7" x14ac:dyDescent="0.25">
      <c r="A97" s="18"/>
      <c r="B97" s="4"/>
      <c r="C97" s="23"/>
      <c r="E97" s="19"/>
      <c r="F97" s="9"/>
      <c r="G97" s="32"/>
    </row>
    <row r="98" spans="1:7" x14ac:dyDescent="0.25">
      <c r="A98" s="18"/>
      <c r="B98" s="4"/>
      <c r="C98" s="23"/>
      <c r="E98" s="19"/>
      <c r="F98" s="9"/>
    </row>
    <row r="99" spans="1:7" x14ac:dyDescent="0.25">
      <c r="A99" s="18"/>
      <c r="B99" s="4"/>
      <c r="C99" s="23"/>
      <c r="E99" s="19"/>
      <c r="F99" s="9"/>
    </row>
    <row r="100" spans="1:7" x14ac:dyDescent="0.25">
      <c r="A100" s="18"/>
      <c r="B100" s="4"/>
      <c r="C100" s="23"/>
      <c r="E100" s="19"/>
      <c r="F100" s="9"/>
    </row>
    <row r="101" spans="1:7" x14ac:dyDescent="0.25">
      <c r="A101" s="18"/>
      <c r="B101" s="4"/>
      <c r="C101" s="23"/>
      <c r="E101" s="19"/>
      <c r="F101" s="9"/>
      <c r="G101" s="7"/>
    </row>
    <row r="102" spans="1:7" x14ac:dyDescent="0.25">
      <c r="A102" s="18"/>
      <c r="B102" s="4"/>
      <c r="C102" s="23"/>
      <c r="G102" s="9"/>
    </row>
    <row r="103" spans="1:7" x14ac:dyDescent="0.25">
      <c r="A103" s="18"/>
      <c r="B103" s="4"/>
      <c r="C103" s="23"/>
      <c r="E103" s="19"/>
      <c r="F103" s="9"/>
    </row>
    <row r="104" spans="1:7" x14ac:dyDescent="0.25">
      <c r="A104" s="18"/>
      <c r="B104" s="4"/>
      <c r="C104" s="23"/>
      <c r="E104" s="19"/>
      <c r="F104" s="9"/>
    </row>
    <row r="105" spans="1:7" x14ac:dyDescent="0.25">
      <c r="A105" s="18"/>
      <c r="B105" s="4"/>
      <c r="C105" s="23"/>
      <c r="E105" s="19"/>
      <c r="F105" s="9"/>
    </row>
    <row r="106" spans="1:7" x14ac:dyDescent="0.25">
      <c r="A106" s="18"/>
      <c r="B106" s="4"/>
      <c r="C106" s="23"/>
      <c r="E106" s="19"/>
      <c r="F106" s="9"/>
    </row>
    <row r="107" spans="1:7" x14ac:dyDescent="0.25">
      <c r="A107" s="18"/>
      <c r="B107" s="4"/>
      <c r="C107" s="23"/>
      <c r="E107" s="19"/>
      <c r="F107" s="9"/>
    </row>
    <row r="108" spans="1:7" x14ac:dyDescent="0.25">
      <c r="A108" s="18"/>
      <c r="B108" s="4"/>
      <c r="C108" s="23"/>
      <c r="E108" s="19"/>
      <c r="F108" s="9"/>
    </row>
    <row r="109" spans="1:7" x14ac:dyDescent="0.25">
      <c r="A109" s="18"/>
      <c r="B109" s="4"/>
      <c r="C109" s="23"/>
      <c r="E109" s="19"/>
      <c r="F109" s="9"/>
    </row>
    <row r="110" spans="1:7" x14ac:dyDescent="0.25">
      <c r="A110" s="18"/>
      <c r="B110" s="4"/>
      <c r="C110" s="23"/>
      <c r="E110" s="19"/>
      <c r="F110" s="9"/>
    </row>
    <row r="111" spans="1:7" x14ac:dyDescent="0.25">
      <c r="A111" s="18"/>
      <c r="B111" s="4"/>
      <c r="C111" s="23"/>
      <c r="E111" s="19"/>
      <c r="F111" s="9"/>
    </row>
    <row r="112" spans="1:7" x14ac:dyDescent="0.25">
      <c r="A112" s="18"/>
      <c r="B112" s="4"/>
      <c r="C112" s="23"/>
      <c r="E112" s="19"/>
      <c r="F112" s="9"/>
    </row>
    <row r="113" spans="1:6" x14ac:dyDescent="0.25">
      <c r="A113" s="18"/>
      <c r="B113" s="4"/>
      <c r="C113" s="23"/>
      <c r="E113" s="19"/>
      <c r="F113" s="9"/>
    </row>
    <row r="114" spans="1:6" x14ac:dyDescent="0.25">
      <c r="A114" s="18"/>
      <c r="B114" s="4"/>
      <c r="C114" s="23"/>
      <c r="E114" s="19"/>
      <c r="F114" s="9"/>
    </row>
    <row r="115" spans="1:6" x14ac:dyDescent="0.25">
      <c r="A115" s="18"/>
      <c r="B115" s="4"/>
      <c r="C115" s="23"/>
      <c r="E115" s="19"/>
      <c r="F115" s="9"/>
    </row>
    <row r="116" spans="1:6" x14ac:dyDescent="0.25">
      <c r="A116" s="18"/>
      <c r="B116" s="4"/>
      <c r="C116" s="23"/>
      <c r="E116" s="19"/>
      <c r="F116" s="9"/>
    </row>
    <row r="117" spans="1:6" x14ac:dyDescent="0.25">
      <c r="A117" s="18"/>
      <c r="B117" s="4"/>
      <c r="C117" s="23"/>
      <c r="E117" s="19"/>
      <c r="F117" s="9"/>
    </row>
    <row r="118" spans="1:6" x14ac:dyDescent="0.25">
      <c r="A118" s="18"/>
      <c r="B118" s="4"/>
      <c r="C118" s="23"/>
      <c r="E118" s="19"/>
      <c r="F118" s="9"/>
    </row>
    <row r="119" spans="1:6" x14ac:dyDescent="0.25">
      <c r="A119" s="18"/>
      <c r="B119" s="4"/>
      <c r="C119" s="23"/>
      <c r="E119" s="19"/>
      <c r="F119" s="9"/>
    </row>
    <row r="120" spans="1:6" x14ac:dyDescent="0.25">
      <c r="A120" s="18"/>
      <c r="B120" s="4"/>
      <c r="C120" s="23"/>
      <c r="E120" s="19"/>
      <c r="F120" s="9"/>
    </row>
    <row r="121" spans="1:6" x14ac:dyDescent="0.25">
      <c r="A121" s="18"/>
      <c r="B121" s="4"/>
      <c r="C121" s="23"/>
      <c r="E121" s="19"/>
      <c r="F121" s="9"/>
    </row>
    <row r="122" spans="1:6" x14ac:dyDescent="0.25">
      <c r="A122" s="18"/>
      <c r="B122" s="4"/>
      <c r="C122" s="23"/>
      <c r="E122" s="19"/>
      <c r="F122" s="9"/>
    </row>
    <row r="123" spans="1:6" x14ac:dyDescent="0.25">
      <c r="A123" s="18"/>
      <c r="B123" s="4"/>
      <c r="C123" s="23"/>
      <c r="E123" s="19"/>
      <c r="F123" s="9"/>
    </row>
    <row r="124" spans="1:6" x14ac:dyDescent="0.25">
      <c r="A124" s="18"/>
      <c r="B124" s="4"/>
      <c r="C124" s="23"/>
      <c r="E124" s="19"/>
      <c r="F124" s="9"/>
    </row>
    <row r="125" spans="1:6" x14ac:dyDescent="0.25">
      <c r="A125" s="18"/>
      <c r="B125" s="4"/>
      <c r="C125" s="23"/>
      <c r="E125" s="19"/>
      <c r="F125" s="9"/>
    </row>
    <row r="126" spans="1:6" x14ac:dyDescent="0.25">
      <c r="A126" s="18"/>
      <c r="B126" s="4"/>
      <c r="C126" s="23"/>
      <c r="E126" s="19"/>
      <c r="F126" s="9"/>
    </row>
    <row r="127" spans="1:6" x14ac:dyDescent="0.25">
      <c r="A127" s="18"/>
      <c r="B127" s="4"/>
      <c r="C127" s="23"/>
      <c r="E127" s="19"/>
      <c r="F127" s="9"/>
    </row>
    <row r="128" spans="1:6" x14ac:dyDescent="0.25">
      <c r="A128" s="18"/>
      <c r="B128" s="4"/>
      <c r="C128" s="23"/>
      <c r="E128" s="19"/>
      <c r="F128" s="9"/>
    </row>
    <row r="129" spans="1:7" x14ac:dyDescent="0.25">
      <c r="A129" s="18"/>
      <c r="B129" s="4"/>
      <c r="C129" s="23"/>
      <c r="E129" s="19"/>
      <c r="F129" s="9"/>
    </row>
    <row r="130" spans="1:7" x14ac:dyDescent="0.25">
      <c r="A130" s="18"/>
      <c r="B130" s="4"/>
      <c r="C130" s="23"/>
      <c r="E130" s="19"/>
      <c r="F130" s="9"/>
    </row>
    <row r="131" spans="1:7" x14ac:dyDescent="0.25">
      <c r="A131" s="18"/>
      <c r="B131" s="4"/>
      <c r="C131" s="23"/>
      <c r="E131" s="19"/>
      <c r="F131" s="9"/>
    </row>
    <row r="132" spans="1:7" x14ac:dyDescent="0.25">
      <c r="A132" s="18"/>
      <c r="B132" s="4"/>
      <c r="C132" s="23"/>
      <c r="E132" s="19"/>
      <c r="F132" s="9"/>
      <c r="G132" s="9"/>
    </row>
    <row r="133" spans="1:7" x14ac:dyDescent="0.25">
      <c r="A133" s="18"/>
      <c r="B133" s="4"/>
      <c r="C133" s="23"/>
      <c r="E133" s="19"/>
      <c r="F133" s="9"/>
    </row>
    <row r="134" spans="1:7" x14ac:dyDescent="0.25">
      <c r="A134" s="18"/>
      <c r="B134" s="4"/>
      <c r="C134" s="23"/>
      <c r="E134" s="19"/>
      <c r="F134" s="9"/>
    </row>
    <row r="135" spans="1:7" x14ac:dyDescent="0.25">
      <c r="A135" s="18"/>
      <c r="B135" s="4"/>
      <c r="C135" s="23"/>
      <c r="E135" s="19"/>
      <c r="F135" s="9"/>
    </row>
    <row r="136" spans="1:7" x14ac:dyDescent="0.25">
      <c r="A136" s="18"/>
      <c r="B136" s="4"/>
      <c r="C136" s="23"/>
      <c r="E136" s="19"/>
      <c r="F136" s="9"/>
    </row>
    <row r="137" spans="1:7" x14ac:dyDescent="0.25">
      <c r="A137" s="18"/>
      <c r="B137" s="4"/>
      <c r="C137" s="23"/>
      <c r="E137" s="19"/>
      <c r="F137" s="9"/>
    </row>
    <row r="138" spans="1:7" x14ac:dyDescent="0.25">
      <c r="A138" s="18"/>
      <c r="B138" s="4"/>
      <c r="C138" s="23"/>
      <c r="E138" s="19"/>
      <c r="F138" s="9"/>
    </row>
    <row r="139" spans="1:7" x14ac:dyDescent="0.25">
      <c r="A139" s="18"/>
      <c r="B139" s="4"/>
      <c r="C139" s="23"/>
      <c r="E139" s="19"/>
      <c r="F139" s="9"/>
    </row>
    <row r="140" spans="1:7" x14ac:dyDescent="0.25">
      <c r="A140" s="18"/>
      <c r="B140" s="4"/>
      <c r="C140" s="23"/>
    </row>
    <row r="141" spans="1:7" x14ac:dyDescent="0.25">
      <c r="A141" s="18"/>
      <c r="B141" s="4"/>
      <c r="C141" s="23"/>
    </row>
    <row r="142" spans="1:7" x14ac:dyDescent="0.25">
      <c r="A142" s="18"/>
      <c r="B142" s="4"/>
      <c r="C142" s="23"/>
    </row>
    <row r="143" spans="1:7" x14ac:dyDescent="0.25">
      <c r="A143" s="18"/>
      <c r="B143" s="4"/>
      <c r="C143" s="23"/>
    </row>
    <row r="144" spans="1:7" x14ac:dyDescent="0.25">
      <c r="A144" s="18"/>
      <c r="B144" s="4"/>
      <c r="C144" s="23"/>
    </row>
    <row r="145" spans="1:3" x14ac:dyDescent="0.25">
      <c r="A145" s="18"/>
      <c r="B145" s="4"/>
      <c r="C145" s="23"/>
    </row>
    <row r="146" spans="1:3" x14ac:dyDescent="0.25">
      <c r="A146" s="18"/>
      <c r="B146" s="4"/>
      <c r="C146" s="23"/>
    </row>
    <row r="147" spans="1:3" x14ac:dyDescent="0.25">
      <c r="A147" s="18"/>
      <c r="B147" s="4"/>
      <c r="C147" s="23"/>
    </row>
    <row r="148" spans="1:3" x14ac:dyDescent="0.25">
      <c r="A148" s="18"/>
      <c r="B148" s="4"/>
      <c r="C148" s="23"/>
    </row>
    <row r="149" spans="1:3" x14ac:dyDescent="0.25">
      <c r="A149" s="18"/>
      <c r="B149" s="4"/>
      <c r="C149" s="23"/>
    </row>
    <row r="150" spans="1:3" x14ac:dyDescent="0.25">
      <c r="A150" s="18"/>
      <c r="B150" s="4"/>
      <c r="C150" s="23"/>
    </row>
    <row r="151" spans="1:3" x14ac:dyDescent="0.25">
      <c r="A151" s="18"/>
      <c r="B151" s="4"/>
      <c r="C151" s="23"/>
    </row>
    <row r="152" spans="1:3" x14ac:dyDescent="0.25">
      <c r="A152" s="18"/>
      <c r="B152" s="4"/>
      <c r="C152" s="23"/>
    </row>
    <row r="153" spans="1:3" x14ac:dyDescent="0.25">
      <c r="A153" s="18"/>
      <c r="B153" s="4"/>
      <c r="C153" s="23"/>
    </row>
    <row r="154" spans="1:3" x14ac:dyDescent="0.25">
      <c r="A154" s="18"/>
      <c r="B154" s="4"/>
      <c r="C154" s="23"/>
    </row>
    <row r="155" spans="1:3" x14ac:dyDescent="0.25">
      <c r="A155" s="18"/>
      <c r="B155" s="4"/>
      <c r="C155" s="23"/>
    </row>
    <row r="156" spans="1:3" x14ac:dyDescent="0.25">
      <c r="A156" s="18"/>
      <c r="B156" s="4"/>
      <c r="C156" s="23"/>
    </row>
    <row r="157" spans="1:3" x14ac:dyDescent="0.25">
      <c r="A157" s="18"/>
      <c r="B157" s="4"/>
      <c r="C157" s="23"/>
    </row>
    <row r="158" spans="1:3" x14ac:dyDescent="0.25">
      <c r="A158" s="18"/>
      <c r="B158" s="4"/>
      <c r="C158" s="23"/>
    </row>
    <row r="159" spans="1:3" x14ac:dyDescent="0.25">
      <c r="A159" s="18"/>
      <c r="B159" s="4"/>
      <c r="C159" s="23"/>
    </row>
    <row r="160" spans="1:3" x14ac:dyDescent="0.25">
      <c r="A160" s="18"/>
      <c r="B160" s="4"/>
      <c r="C160" s="23"/>
    </row>
    <row r="161" spans="1:7" x14ac:dyDescent="0.25">
      <c r="A161" s="18"/>
      <c r="B161" s="4"/>
      <c r="C161" s="23"/>
    </row>
    <row r="162" spans="1:7" x14ac:dyDescent="0.25">
      <c r="A162" s="18"/>
      <c r="B162" s="4"/>
      <c r="C162" s="23"/>
    </row>
    <row r="163" spans="1:7" x14ac:dyDescent="0.25">
      <c r="A163" s="18"/>
      <c r="B163" s="4"/>
      <c r="C163" s="23"/>
    </row>
    <row r="164" spans="1:7" x14ac:dyDescent="0.25">
      <c r="A164" s="18"/>
      <c r="B164" s="4"/>
      <c r="C164" s="23"/>
    </row>
    <row r="165" spans="1:7" x14ac:dyDescent="0.25">
      <c r="A165" s="18"/>
      <c r="B165" s="4"/>
      <c r="C165" s="23"/>
    </row>
    <row r="166" spans="1:7" x14ac:dyDescent="0.25">
      <c r="A166" s="18"/>
      <c r="B166" s="4"/>
      <c r="C166" s="23"/>
      <c r="E166" s="19"/>
      <c r="F166" s="9"/>
      <c r="G166" s="32"/>
    </row>
    <row r="167" spans="1:7" x14ac:dyDescent="0.25">
      <c r="A167" s="18"/>
      <c r="B167" s="4"/>
      <c r="C167" s="23"/>
    </row>
    <row r="168" spans="1:7" x14ac:dyDescent="0.25">
      <c r="A168" s="18"/>
      <c r="B168" s="4"/>
      <c r="C168" s="23"/>
    </row>
    <row r="169" spans="1:7" x14ac:dyDescent="0.25">
      <c r="A169" s="18"/>
      <c r="B169" s="4"/>
      <c r="C169" s="23"/>
    </row>
    <row r="170" spans="1:7" x14ac:dyDescent="0.25">
      <c r="A170" s="18"/>
      <c r="B170" s="4"/>
      <c r="C170" s="23"/>
    </row>
    <row r="171" spans="1:7" x14ac:dyDescent="0.25">
      <c r="A171" s="18"/>
      <c r="B171" s="4"/>
      <c r="C171" s="23"/>
    </row>
    <row r="172" spans="1:7" x14ac:dyDescent="0.25">
      <c r="A172" s="18"/>
      <c r="B172" s="4"/>
      <c r="C172" s="23"/>
      <c r="G172" s="9"/>
    </row>
    <row r="173" spans="1:7" x14ac:dyDescent="0.25">
      <c r="A173" s="18"/>
      <c r="B173" s="4"/>
      <c r="C173" s="23"/>
    </row>
    <row r="174" spans="1:7" x14ac:dyDescent="0.25">
      <c r="A174" s="18"/>
      <c r="B174" s="4"/>
      <c r="C174" s="23"/>
      <c r="G174" s="7"/>
    </row>
    <row r="241" spans="1:3" x14ac:dyDescent="0.25">
      <c r="A241" s="18"/>
      <c r="B241" s="4"/>
      <c r="C241" s="23"/>
    </row>
  </sheetData>
  <autoFilter ref="A1:H241" xr:uid="{2B543102-7F5A-4A58-B7F1-6AA5F3CFE946}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TGO2-DET(marzo)</vt:lpstr>
      <vt:lpstr>TGO2-DET(abril)</vt:lpstr>
      <vt:lpstr>TGO2-DET(mayo)</vt:lpstr>
      <vt:lpstr>TGO2-DET(junio)</vt:lpstr>
      <vt:lpstr>TGO2-DET(Julio)</vt:lpstr>
      <vt:lpstr>TGO2-DET(agosto)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Ferretti</dc:creator>
  <cp:lastModifiedBy>EMILIANO RIZZO</cp:lastModifiedBy>
  <dcterms:created xsi:type="dcterms:W3CDTF">2026-08-25T15:40:01Z</dcterms:created>
  <dcterms:modified xsi:type="dcterms:W3CDTF">2026-09-01T13:20:05Z</dcterms:modified>
</cp:coreProperties>
</file>